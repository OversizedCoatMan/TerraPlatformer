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Joey\Desktop\"/>
    </mc:Choice>
  </mc:AlternateContent>
  <xr:revisionPtr revIDLastSave="0" documentId="8_{D09BC5CF-9F11-4234-99D7-4DCEA65C14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troduction" sheetId="1" r:id="rId1"/>
    <sheet name="Calculator" sheetId="2" r:id="rId2"/>
    <sheet name="Faults" sheetId="3" r:id="rId3"/>
    <sheet name="Items" sheetId="4" r:id="rId4"/>
    <sheet name="Total Profit" sheetId="5" r:id="rId5"/>
    <sheet name="Final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5" i="5" l="1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G5" i="5"/>
  <c r="F5" i="5"/>
  <c r="D5" i="5"/>
  <c r="D4" i="5"/>
  <c r="D3" i="5"/>
  <c r="H2" i="5"/>
  <c r="B2" i="6" s="1"/>
  <c r="G2" i="5"/>
  <c r="A2" i="6" s="1"/>
  <c r="F2" i="5"/>
  <c r="D2" i="5"/>
  <c r="J267" i="4"/>
  <c r="E267" i="4"/>
  <c r="G267" i="4" s="1"/>
  <c r="J266" i="4"/>
  <c r="G266" i="4"/>
  <c r="E266" i="4"/>
  <c r="J265" i="4"/>
  <c r="E265" i="4"/>
  <c r="G265" i="4" s="1"/>
  <c r="J264" i="4"/>
  <c r="E264" i="4"/>
  <c r="G264" i="4" s="1"/>
  <c r="J263" i="4"/>
  <c r="E263" i="4"/>
  <c r="G263" i="4" s="1"/>
  <c r="J262" i="4"/>
  <c r="G262" i="4"/>
  <c r="E262" i="4"/>
  <c r="J261" i="4"/>
  <c r="G261" i="4"/>
  <c r="E261" i="4"/>
  <c r="J260" i="4"/>
  <c r="G260" i="4"/>
  <c r="E260" i="4"/>
  <c r="J259" i="4"/>
  <c r="E259" i="4"/>
  <c r="G259" i="4" s="1"/>
  <c r="J258" i="4"/>
  <c r="G258" i="4"/>
  <c r="E258" i="4"/>
  <c r="J257" i="4"/>
  <c r="G257" i="4"/>
  <c r="E257" i="4"/>
  <c r="J256" i="4"/>
  <c r="G256" i="4"/>
  <c r="E256" i="4"/>
  <c r="J255" i="4"/>
  <c r="E255" i="4"/>
  <c r="G255" i="4" s="1"/>
  <c r="J254" i="4"/>
  <c r="G254" i="4"/>
  <c r="E254" i="4"/>
  <c r="J253" i="4"/>
  <c r="E253" i="4"/>
  <c r="G253" i="4" s="1"/>
  <c r="J252" i="4"/>
  <c r="E252" i="4"/>
  <c r="G252" i="4" s="1"/>
  <c r="J251" i="4"/>
  <c r="G251" i="4"/>
  <c r="E251" i="4"/>
  <c r="J250" i="4"/>
  <c r="E250" i="4"/>
  <c r="G250" i="4" s="1"/>
  <c r="J249" i="4"/>
  <c r="E249" i="4"/>
  <c r="G249" i="4" s="1"/>
  <c r="J248" i="4"/>
  <c r="G248" i="4"/>
  <c r="E248" i="4"/>
  <c r="J247" i="4"/>
  <c r="E247" i="4"/>
  <c r="G247" i="4" s="1"/>
  <c r="J246" i="4"/>
  <c r="G246" i="4"/>
  <c r="E246" i="4"/>
  <c r="J245" i="4"/>
  <c r="E245" i="4"/>
  <c r="G245" i="4" s="1"/>
  <c r="J244" i="4"/>
  <c r="E244" i="4"/>
  <c r="G244" i="4" s="1"/>
  <c r="J243" i="4"/>
  <c r="E243" i="4"/>
  <c r="G243" i="4" s="1"/>
  <c r="J242" i="4"/>
  <c r="G242" i="4"/>
  <c r="E242" i="4"/>
  <c r="J241" i="4"/>
  <c r="G241" i="4"/>
  <c r="E241" i="4"/>
  <c r="J240" i="4"/>
  <c r="G240" i="4"/>
  <c r="E240" i="4"/>
  <c r="J239" i="4"/>
  <c r="E239" i="4"/>
  <c r="G239" i="4" s="1"/>
  <c r="J238" i="4"/>
  <c r="G238" i="4"/>
  <c r="E238" i="4"/>
  <c r="J237" i="4"/>
  <c r="G237" i="4"/>
  <c r="E237" i="4"/>
  <c r="J236" i="4"/>
  <c r="G236" i="4"/>
  <c r="E236" i="4"/>
  <c r="J235" i="4"/>
  <c r="E235" i="4"/>
  <c r="G235" i="4" s="1"/>
  <c r="J234" i="4"/>
  <c r="G234" i="4"/>
  <c r="E234" i="4"/>
  <c r="J233" i="4"/>
  <c r="E233" i="4"/>
  <c r="G233" i="4" s="1"/>
  <c r="J232" i="4"/>
  <c r="E232" i="4"/>
  <c r="G232" i="4" s="1"/>
  <c r="J231" i="4"/>
  <c r="G231" i="4"/>
  <c r="E231" i="4"/>
  <c r="J230" i="4"/>
  <c r="E230" i="4"/>
  <c r="G230" i="4" s="1"/>
  <c r="J229" i="4"/>
  <c r="E229" i="4"/>
  <c r="G229" i="4" s="1"/>
  <c r="J228" i="4"/>
  <c r="G228" i="4"/>
  <c r="E228" i="4"/>
  <c r="J227" i="4"/>
  <c r="E227" i="4"/>
  <c r="G227" i="4" s="1"/>
  <c r="J226" i="4"/>
  <c r="G226" i="4"/>
  <c r="E226" i="4"/>
  <c r="J225" i="4"/>
  <c r="E225" i="4"/>
  <c r="G225" i="4" s="1"/>
  <c r="J224" i="4"/>
  <c r="E224" i="4"/>
  <c r="G224" i="4" s="1"/>
  <c r="J223" i="4"/>
  <c r="E223" i="4"/>
  <c r="G223" i="4" s="1"/>
  <c r="J222" i="4"/>
  <c r="G222" i="4"/>
  <c r="E222" i="4"/>
  <c r="J221" i="4"/>
  <c r="G221" i="4"/>
  <c r="E221" i="4"/>
  <c r="J220" i="4"/>
  <c r="G220" i="4"/>
  <c r="E220" i="4"/>
  <c r="J219" i="4"/>
  <c r="E219" i="4"/>
  <c r="G219" i="4" s="1"/>
  <c r="J218" i="4"/>
  <c r="G218" i="4"/>
  <c r="E218" i="4"/>
  <c r="J217" i="4"/>
  <c r="G217" i="4"/>
  <c r="E217" i="4"/>
  <c r="J216" i="4"/>
  <c r="G216" i="4"/>
  <c r="E216" i="4"/>
  <c r="J215" i="4"/>
  <c r="E215" i="4"/>
  <c r="G215" i="4" s="1"/>
  <c r="J214" i="4"/>
  <c r="G214" i="4"/>
  <c r="E214" i="4"/>
  <c r="J213" i="4"/>
  <c r="E213" i="4"/>
  <c r="G213" i="4" s="1"/>
  <c r="J212" i="4"/>
  <c r="E212" i="4"/>
  <c r="G212" i="4" s="1"/>
  <c r="J211" i="4"/>
  <c r="G211" i="4"/>
  <c r="E211" i="4"/>
  <c r="J210" i="4"/>
  <c r="E210" i="4"/>
  <c r="G210" i="4" s="1"/>
  <c r="J209" i="4"/>
  <c r="E209" i="4"/>
  <c r="G209" i="4" s="1"/>
  <c r="J208" i="4"/>
  <c r="G208" i="4"/>
  <c r="E208" i="4"/>
  <c r="J207" i="4"/>
  <c r="E207" i="4"/>
  <c r="G207" i="4" s="1"/>
  <c r="J206" i="4"/>
  <c r="G206" i="4"/>
  <c r="E206" i="4"/>
  <c r="J205" i="4"/>
  <c r="E205" i="4"/>
  <c r="G205" i="4" s="1"/>
  <c r="J204" i="4"/>
  <c r="E204" i="4"/>
  <c r="G204" i="4" s="1"/>
  <c r="J203" i="4"/>
  <c r="E203" i="4"/>
  <c r="G203" i="4" s="1"/>
  <c r="J202" i="4"/>
  <c r="G202" i="4"/>
  <c r="E202" i="4"/>
  <c r="J201" i="4"/>
  <c r="G201" i="4"/>
  <c r="E201" i="4"/>
  <c r="J200" i="4"/>
  <c r="G200" i="4"/>
  <c r="E200" i="4"/>
  <c r="J199" i="4"/>
  <c r="E199" i="4"/>
  <c r="G199" i="4" s="1"/>
  <c r="J198" i="4"/>
  <c r="G198" i="4"/>
  <c r="E198" i="4"/>
  <c r="J197" i="4"/>
  <c r="G197" i="4"/>
  <c r="E197" i="4"/>
  <c r="J196" i="4"/>
  <c r="G196" i="4"/>
  <c r="E196" i="4"/>
  <c r="J195" i="4"/>
  <c r="E195" i="4"/>
  <c r="G195" i="4" s="1"/>
  <c r="J194" i="4"/>
  <c r="G194" i="4"/>
  <c r="E194" i="4"/>
  <c r="J193" i="4"/>
  <c r="E193" i="4"/>
  <c r="G193" i="4" s="1"/>
  <c r="J192" i="4"/>
  <c r="E192" i="4"/>
  <c r="G192" i="4" s="1"/>
  <c r="J191" i="4"/>
  <c r="E191" i="4"/>
  <c r="G191" i="4" s="1"/>
  <c r="J190" i="4"/>
  <c r="E190" i="4"/>
  <c r="G190" i="4" s="1"/>
  <c r="J189" i="4"/>
  <c r="E189" i="4"/>
  <c r="G189" i="4" s="1"/>
  <c r="J188" i="4"/>
  <c r="G188" i="4"/>
  <c r="E188" i="4"/>
  <c r="J187" i="4"/>
  <c r="E187" i="4"/>
  <c r="G187" i="4" s="1"/>
  <c r="J186" i="4"/>
  <c r="G186" i="4"/>
  <c r="E186" i="4"/>
  <c r="J185" i="4"/>
  <c r="E185" i="4"/>
  <c r="G185" i="4" s="1"/>
  <c r="J184" i="4"/>
  <c r="E184" i="4"/>
  <c r="G184" i="4" s="1"/>
  <c r="J183" i="4"/>
  <c r="G183" i="4"/>
  <c r="E183" i="4"/>
  <c r="J182" i="4"/>
  <c r="G182" i="4"/>
  <c r="E182" i="4"/>
  <c r="J181" i="4"/>
  <c r="G181" i="4"/>
  <c r="E181" i="4"/>
  <c r="J180" i="4"/>
  <c r="G180" i="4"/>
  <c r="E180" i="4"/>
  <c r="J179" i="4"/>
  <c r="E179" i="4"/>
  <c r="G179" i="4" s="1"/>
  <c r="J178" i="4"/>
  <c r="G178" i="4"/>
  <c r="E178" i="4"/>
  <c r="J177" i="4"/>
  <c r="G177" i="4"/>
  <c r="E177" i="4"/>
  <c r="J176" i="4"/>
  <c r="G176" i="4"/>
  <c r="E176" i="4"/>
  <c r="J175" i="4"/>
  <c r="E175" i="4"/>
  <c r="G175" i="4" s="1"/>
  <c r="J174" i="4"/>
  <c r="G174" i="4"/>
  <c r="E174" i="4"/>
  <c r="J173" i="4"/>
  <c r="E173" i="4"/>
  <c r="G173" i="4" s="1"/>
  <c r="J172" i="4"/>
  <c r="E172" i="4"/>
  <c r="G172" i="4" s="1"/>
  <c r="J171" i="4"/>
  <c r="E171" i="4"/>
  <c r="G171" i="4" s="1"/>
  <c r="J170" i="4"/>
  <c r="E170" i="4"/>
  <c r="G170" i="4" s="1"/>
  <c r="J169" i="4"/>
  <c r="E169" i="4"/>
  <c r="G169" i="4" s="1"/>
  <c r="J168" i="4"/>
  <c r="G168" i="4"/>
  <c r="E168" i="4"/>
  <c r="J167" i="4"/>
  <c r="E167" i="4"/>
  <c r="G167" i="4" s="1"/>
  <c r="J166" i="4"/>
  <c r="G166" i="4"/>
  <c r="E166" i="4"/>
  <c r="J165" i="4"/>
  <c r="E165" i="4"/>
  <c r="G165" i="4" s="1"/>
  <c r="J164" i="4"/>
  <c r="E164" i="4"/>
  <c r="G164" i="4" s="1"/>
  <c r="J163" i="4"/>
  <c r="G163" i="4"/>
  <c r="E163" i="4"/>
  <c r="J162" i="4"/>
  <c r="G162" i="4"/>
  <c r="E162" i="4"/>
  <c r="J161" i="4"/>
  <c r="E161" i="4"/>
  <c r="G161" i="4" s="1"/>
  <c r="J160" i="4"/>
  <c r="G160" i="4"/>
  <c r="E160" i="4"/>
  <c r="J159" i="4"/>
  <c r="E159" i="4"/>
  <c r="G159" i="4" s="1"/>
  <c r="J158" i="4"/>
  <c r="G158" i="4"/>
  <c r="E158" i="4"/>
  <c r="J157" i="4"/>
  <c r="G157" i="4"/>
  <c r="E157" i="4"/>
  <c r="J156" i="4"/>
  <c r="G156" i="4"/>
  <c r="E156" i="4"/>
  <c r="J155" i="4"/>
  <c r="E155" i="4"/>
  <c r="G155" i="4" s="1"/>
  <c r="J154" i="4"/>
  <c r="G154" i="4"/>
  <c r="E154" i="4"/>
  <c r="J153" i="4"/>
  <c r="E153" i="4"/>
  <c r="G153" i="4" s="1"/>
  <c r="J152" i="4"/>
  <c r="E152" i="4"/>
  <c r="G152" i="4" s="1"/>
  <c r="J151" i="4"/>
  <c r="E151" i="4"/>
  <c r="G151" i="4" s="1"/>
  <c r="J150" i="4"/>
  <c r="E150" i="4"/>
  <c r="G150" i="4" s="1"/>
  <c r="J149" i="4"/>
  <c r="E149" i="4"/>
  <c r="G149" i="4" s="1"/>
  <c r="J148" i="4"/>
  <c r="G148" i="4"/>
  <c r="E148" i="4"/>
  <c r="J147" i="4"/>
  <c r="E147" i="4"/>
  <c r="G147" i="4" s="1"/>
  <c r="J146" i="4"/>
  <c r="G146" i="4"/>
  <c r="E146" i="4"/>
  <c r="J145" i="4"/>
  <c r="E145" i="4"/>
  <c r="G145" i="4" s="1"/>
  <c r="J144" i="4"/>
  <c r="E144" i="4"/>
  <c r="G144" i="4" s="1"/>
  <c r="J143" i="4"/>
  <c r="E143" i="4"/>
  <c r="G143" i="4" s="1"/>
  <c r="J142" i="4"/>
  <c r="G142" i="4"/>
  <c r="E142" i="4"/>
  <c r="J141" i="4"/>
  <c r="E141" i="4"/>
  <c r="G141" i="4" s="1"/>
  <c r="J140" i="4"/>
  <c r="G140" i="4"/>
  <c r="E140" i="4"/>
  <c r="J139" i="4"/>
  <c r="G139" i="4"/>
  <c r="E139" i="4"/>
  <c r="J138" i="4"/>
  <c r="G138" i="4"/>
  <c r="E138" i="4"/>
  <c r="J137" i="4"/>
  <c r="G137" i="4"/>
  <c r="E137" i="4"/>
  <c r="J136" i="4"/>
  <c r="G136" i="4"/>
  <c r="E136" i="4"/>
  <c r="J135" i="4"/>
  <c r="E135" i="4"/>
  <c r="G135" i="4" s="1"/>
  <c r="J134" i="4"/>
  <c r="G134" i="4"/>
  <c r="E134" i="4"/>
  <c r="J133" i="4"/>
  <c r="E133" i="4"/>
  <c r="G133" i="4" s="1"/>
  <c r="J132" i="4"/>
  <c r="E132" i="4"/>
  <c r="G132" i="4" s="1"/>
  <c r="J131" i="4"/>
  <c r="E131" i="4"/>
  <c r="G131" i="4" s="1"/>
  <c r="J130" i="4"/>
  <c r="E130" i="4"/>
  <c r="G130" i="4" s="1"/>
  <c r="J129" i="4"/>
  <c r="E129" i="4"/>
  <c r="G129" i="4" s="1"/>
  <c r="J128" i="4"/>
  <c r="G128" i="4"/>
  <c r="E128" i="4"/>
  <c r="J127" i="4"/>
  <c r="E127" i="4"/>
  <c r="G127" i="4" s="1"/>
  <c r="J126" i="4"/>
  <c r="G126" i="4"/>
  <c r="E126" i="4"/>
  <c r="J125" i="4"/>
  <c r="E125" i="4"/>
  <c r="G125" i="4" s="1"/>
  <c r="J124" i="4"/>
  <c r="E124" i="4"/>
  <c r="G124" i="4" s="1"/>
  <c r="J123" i="4"/>
  <c r="G123" i="4"/>
  <c r="E123" i="4"/>
  <c r="J122" i="4"/>
  <c r="G122" i="4"/>
  <c r="E122" i="4"/>
  <c r="J121" i="4"/>
  <c r="E121" i="4"/>
  <c r="G121" i="4" s="1"/>
  <c r="J120" i="4"/>
  <c r="G120" i="4"/>
  <c r="E120" i="4"/>
  <c r="J119" i="4"/>
  <c r="E119" i="4"/>
  <c r="G119" i="4" s="1"/>
  <c r="J118" i="4"/>
  <c r="G118" i="4"/>
  <c r="E118" i="4"/>
  <c r="J117" i="4"/>
  <c r="G117" i="4"/>
  <c r="E117" i="4"/>
  <c r="J116" i="4"/>
  <c r="G116" i="4"/>
  <c r="E116" i="4"/>
  <c r="J115" i="4"/>
  <c r="E115" i="4"/>
  <c r="G115" i="4" s="1"/>
  <c r="J114" i="4"/>
  <c r="G114" i="4"/>
  <c r="E114" i="4"/>
  <c r="J113" i="4"/>
  <c r="E113" i="4"/>
  <c r="G113" i="4" s="1"/>
  <c r="J112" i="4"/>
  <c r="E112" i="4"/>
  <c r="G112" i="4" s="1"/>
  <c r="J111" i="4"/>
  <c r="E111" i="4"/>
  <c r="G111" i="4" s="1"/>
  <c r="J110" i="4"/>
  <c r="E110" i="4"/>
  <c r="G110" i="4" s="1"/>
  <c r="J109" i="4"/>
  <c r="E109" i="4"/>
  <c r="G109" i="4" s="1"/>
  <c r="J108" i="4"/>
  <c r="G108" i="4"/>
  <c r="E108" i="4"/>
  <c r="J107" i="4"/>
  <c r="G107" i="4"/>
  <c r="E107" i="4"/>
  <c r="J106" i="4"/>
  <c r="G106" i="4"/>
  <c r="E106" i="4"/>
  <c r="J105" i="4"/>
  <c r="E105" i="4"/>
  <c r="G105" i="4" s="1"/>
  <c r="J104" i="4"/>
  <c r="E104" i="4"/>
  <c r="G104" i="4" s="1"/>
  <c r="J103" i="4"/>
  <c r="G103" i="4"/>
  <c r="E103" i="4"/>
  <c r="J102" i="4"/>
  <c r="E102" i="4"/>
  <c r="G102" i="4" s="1"/>
  <c r="J101" i="4"/>
  <c r="E101" i="4"/>
  <c r="G101" i="4" s="1"/>
  <c r="J100" i="4"/>
  <c r="G100" i="4"/>
  <c r="E100" i="4"/>
  <c r="J99" i="4"/>
  <c r="E99" i="4"/>
  <c r="G99" i="4" s="1"/>
  <c r="J98" i="4"/>
  <c r="G98" i="4"/>
  <c r="E98" i="4"/>
  <c r="J97" i="4"/>
  <c r="G97" i="4"/>
  <c r="E97" i="4"/>
  <c r="J96" i="4"/>
  <c r="G96" i="4"/>
  <c r="E96" i="4"/>
  <c r="J95" i="4"/>
  <c r="E95" i="4"/>
  <c r="G95" i="4" s="1"/>
  <c r="J94" i="4"/>
  <c r="E94" i="4"/>
  <c r="G94" i="4" s="1"/>
  <c r="J93" i="4"/>
  <c r="E93" i="4"/>
  <c r="G93" i="4" s="1"/>
  <c r="J92" i="4"/>
  <c r="E92" i="4"/>
  <c r="G92" i="4" s="1"/>
  <c r="J91" i="4"/>
  <c r="E91" i="4"/>
  <c r="G91" i="4" s="1"/>
  <c r="J90" i="4"/>
  <c r="E90" i="4"/>
  <c r="G90" i="4" s="1"/>
  <c r="J89" i="4"/>
  <c r="E89" i="4"/>
  <c r="G89" i="4" s="1"/>
  <c r="J88" i="4"/>
  <c r="G88" i="4"/>
  <c r="E88" i="4"/>
  <c r="J87" i="4"/>
  <c r="G87" i="4"/>
  <c r="E87" i="4"/>
  <c r="J86" i="4"/>
  <c r="G86" i="4"/>
  <c r="E86" i="4"/>
  <c r="J85" i="4"/>
  <c r="E85" i="4"/>
  <c r="G85" i="4" s="1"/>
  <c r="J84" i="4"/>
  <c r="E84" i="4"/>
  <c r="G84" i="4" s="1"/>
  <c r="J83" i="4"/>
  <c r="G83" i="4"/>
  <c r="E83" i="4"/>
  <c r="J82" i="4"/>
  <c r="E82" i="4"/>
  <c r="G82" i="4" s="1"/>
  <c r="J81" i="4"/>
  <c r="E81" i="4"/>
  <c r="G81" i="4" s="1"/>
  <c r="J80" i="4"/>
  <c r="G80" i="4"/>
  <c r="E80" i="4"/>
  <c r="J79" i="4"/>
  <c r="E79" i="4"/>
  <c r="G79" i="4" s="1"/>
  <c r="J78" i="4"/>
  <c r="G78" i="4"/>
  <c r="E78" i="4"/>
  <c r="J77" i="4"/>
  <c r="G77" i="4"/>
  <c r="E77" i="4"/>
  <c r="J76" i="4"/>
  <c r="G76" i="4"/>
  <c r="E76" i="4"/>
  <c r="J75" i="4"/>
  <c r="E75" i="4"/>
  <c r="G75" i="4" s="1"/>
  <c r="J74" i="4"/>
  <c r="E74" i="4"/>
  <c r="G74" i="4" s="1"/>
  <c r="J73" i="4"/>
  <c r="E73" i="4"/>
  <c r="G73" i="4" s="1"/>
  <c r="J72" i="4"/>
  <c r="E72" i="4"/>
  <c r="G72" i="4" s="1"/>
  <c r="J71" i="4"/>
  <c r="E71" i="4"/>
  <c r="G71" i="4" s="1"/>
  <c r="J70" i="4"/>
  <c r="E70" i="4"/>
  <c r="G70" i="4" s="1"/>
  <c r="J69" i="4"/>
  <c r="E69" i="4"/>
  <c r="G69" i="4" s="1"/>
  <c r="J68" i="4"/>
  <c r="G68" i="4"/>
  <c r="E68" i="4"/>
  <c r="J67" i="4"/>
  <c r="G67" i="4"/>
  <c r="E67" i="4"/>
  <c r="J66" i="4"/>
  <c r="G66" i="4"/>
  <c r="E66" i="4"/>
  <c r="J65" i="4"/>
  <c r="E65" i="4"/>
  <c r="G65" i="4" s="1"/>
  <c r="J64" i="4"/>
  <c r="E64" i="4"/>
  <c r="G64" i="4" s="1"/>
  <c r="J63" i="4"/>
  <c r="G63" i="4"/>
  <c r="E63" i="4"/>
  <c r="J62" i="4"/>
  <c r="E62" i="4"/>
  <c r="G62" i="4" s="1"/>
  <c r="J61" i="4"/>
  <c r="E61" i="4"/>
  <c r="G61" i="4" s="1"/>
  <c r="J60" i="4"/>
  <c r="G60" i="4"/>
  <c r="E60" i="4"/>
  <c r="J59" i="4"/>
  <c r="E59" i="4"/>
  <c r="G59" i="4" s="1"/>
  <c r="J58" i="4"/>
  <c r="G58" i="4"/>
  <c r="E58" i="4"/>
  <c r="J57" i="4"/>
  <c r="G57" i="4"/>
  <c r="E57" i="4"/>
  <c r="J56" i="4"/>
  <c r="G56" i="4"/>
  <c r="E56" i="4"/>
  <c r="J55" i="4"/>
  <c r="E55" i="4"/>
  <c r="G55" i="4" s="1"/>
  <c r="J54" i="4"/>
  <c r="E54" i="4"/>
  <c r="G54" i="4" s="1"/>
  <c r="J53" i="4"/>
  <c r="E53" i="4"/>
  <c r="G53" i="4" s="1"/>
  <c r="J52" i="4"/>
  <c r="E52" i="4"/>
  <c r="G52" i="4" s="1"/>
  <c r="J51" i="4"/>
  <c r="E51" i="4"/>
  <c r="G51" i="4" s="1"/>
  <c r="J50" i="4"/>
  <c r="E50" i="4"/>
  <c r="G50" i="4" s="1"/>
  <c r="J49" i="4"/>
  <c r="E49" i="4"/>
  <c r="G49" i="4" s="1"/>
  <c r="J48" i="4"/>
  <c r="G48" i="4"/>
  <c r="E48" i="4"/>
  <c r="J47" i="4"/>
  <c r="G47" i="4"/>
  <c r="E47" i="4"/>
  <c r="J46" i="4"/>
  <c r="G46" i="4"/>
  <c r="E46" i="4"/>
  <c r="J45" i="4"/>
  <c r="E45" i="4"/>
  <c r="G45" i="4" s="1"/>
  <c r="J44" i="4"/>
  <c r="E44" i="4"/>
  <c r="G44" i="4" s="1"/>
  <c r="J43" i="4"/>
  <c r="G43" i="4"/>
  <c r="E43" i="4"/>
  <c r="J42" i="4"/>
  <c r="E42" i="4"/>
  <c r="G42" i="4" s="1"/>
  <c r="J41" i="4"/>
  <c r="E41" i="4"/>
  <c r="G41" i="4" s="1"/>
  <c r="J40" i="4"/>
  <c r="G40" i="4"/>
  <c r="E40" i="4"/>
  <c r="J39" i="4"/>
  <c r="E39" i="4"/>
  <c r="G39" i="4" s="1"/>
  <c r="J38" i="4"/>
  <c r="G38" i="4"/>
  <c r="E38" i="4"/>
  <c r="J37" i="4"/>
  <c r="G37" i="4"/>
  <c r="E37" i="4"/>
  <c r="J36" i="4"/>
  <c r="G36" i="4"/>
  <c r="E36" i="4"/>
  <c r="J35" i="4"/>
  <c r="E35" i="4"/>
  <c r="G35" i="4" s="1"/>
  <c r="J34" i="4"/>
  <c r="E34" i="4"/>
  <c r="G34" i="4" s="1"/>
  <c r="J33" i="4"/>
  <c r="E33" i="4"/>
  <c r="G33" i="4" s="1"/>
  <c r="J32" i="4"/>
  <c r="E32" i="4"/>
  <c r="G32" i="4" s="1"/>
  <c r="J31" i="4"/>
  <c r="E31" i="4"/>
  <c r="G31" i="4" s="1"/>
  <c r="J30" i="4"/>
  <c r="E30" i="4"/>
  <c r="G30" i="4" s="1"/>
  <c r="J29" i="4"/>
  <c r="E29" i="4"/>
  <c r="G29" i="4" s="1"/>
  <c r="J28" i="4"/>
  <c r="G28" i="4"/>
  <c r="E28" i="4"/>
  <c r="J27" i="4"/>
  <c r="G27" i="4"/>
  <c r="E27" i="4"/>
  <c r="J26" i="4"/>
  <c r="G26" i="4"/>
  <c r="E26" i="4"/>
  <c r="J25" i="4"/>
  <c r="E25" i="4"/>
  <c r="G25" i="4" s="1"/>
  <c r="J24" i="4"/>
  <c r="E24" i="4"/>
  <c r="G24" i="4" s="1"/>
  <c r="J23" i="4"/>
  <c r="G23" i="4"/>
  <c r="E23" i="4"/>
  <c r="J22" i="4"/>
  <c r="E22" i="4"/>
  <c r="G22" i="4" s="1"/>
  <c r="J21" i="4"/>
  <c r="E21" i="4"/>
  <c r="G21" i="4" s="1"/>
  <c r="J20" i="4"/>
  <c r="G20" i="4"/>
  <c r="E20" i="4"/>
  <c r="J19" i="4"/>
  <c r="E19" i="4"/>
  <c r="G19" i="4" s="1"/>
  <c r="J18" i="4"/>
  <c r="G18" i="4"/>
  <c r="E18" i="4"/>
  <c r="J17" i="4"/>
  <c r="G17" i="4"/>
  <c r="E17" i="4"/>
  <c r="J16" i="4"/>
  <c r="G16" i="4"/>
  <c r="E16" i="4"/>
  <c r="J15" i="4"/>
  <c r="E15" i="4"/>
  <c r="G15" i="4" s="1"/>
  <c r="J14" i="4"/>
  <c r="E14" i="4"/>
  <c r="G14" i="4" s="1"/>
  <c r="J13" i="4"/>
  <c r="E13" i="4"/>
  <c r="G13" i="4" s="1"/>
  <c r="J12" i="4"/>
  <c r="E12" i="4"/>
  <c r="G12" i="4" s="1"/>
  <c r="J11" i="4"/>
  <c r="E11" i="4"/>
  <c r="G11" i="4" s="1"/>
  <c r="J10" i="4"/>
  <c r="E10" i="4"/>
  <c r="G10" i="4" s="1"/>
  <c r="J9" i="4"/>
  <c r="E9" i="4"/>
  <c r="G9" i="4" s="1"/>
  <c r="J8" i="4"/>
  <c r="G8" i="4"/>
  <c r="E8" i="4"/>
  <c r="J7" i="4"/>
  <c r="G7" i="4"/>
  <c r="E7" i="4"/>
  <c r="J6" i="4"/>
  <c r="G6" i="4"/>
  <c r="E6" i="4"/>
  <c r="J5" i="4"/>
  <c r="E5" i="4"/>
  <c r="G5" i="4" s="1"/>
  <c r="J4" i="4"/>
  <c r="E4" i="4"/>
  <c r="G4" i="4" s="1"/>
  <c r="J3" i="4"/>
  <c r="G3" i="4"/>
  <c r="E3" i="4"/>
  <c r="J2" i="4"/>
  <c r="E2" i="4"/>
  <c r="G2" i="4" s="1"/>
  <c r="E2" i="2"/>
  <c r="C2" i="2"/>
</calcChain>
</file>

<file path=xl/sharedStrings.xml><?xml version="1.0" encoding="utf-8"?>
<sst xmlns="http://schemas.openxmlformats.org/spreadsheetml/2006/main" count="77" uniqueCount="70">
  <si>
    <t>INTRODUCTION &amp; HOW TO USE THIS SPREADSHEET</t>
  </si>
  <si>
    <t>📌 PURPOSE</t>
  </si>
  <si>
    <t>This spreadsheet helps you track costs, repairs, and profits for broken electronics that you fix and resell (e.g., on eBay).</t>
  </si>
  <si>
    <t>📂 TABS OVERVIEW</t>
  </si>
  <si>
    <t>Use this tab to calculate potential profit before buying an item.</t>
  </si>
  <si>
    <t>Fields to fill in:</t>
  </si>
  <si>
    <t>- Cost: What you paid for the item</t>
  </si>
  <si>
    <t>- Parts: Cost of parts used in repair</t>
  </si>
  <si>
    <t>- eBay Fee (9%): Formula calculates 9% of selling price</t>
  </si>
  <si>
    <t>- Sell Price: Your expected resale price</t>
  </si>
  <si>
    <t>➡ Gross Profit is calculated automatically</t>
  </si>
  <si>
    <t>Use this tab to record item faults and how you fixed them.</t>
  </si>
  <si>
    <t>Fill out:</t>
  </si>
  <si>
    <t>- Item name or description</t>
  </si>
  <si>
    <t>- Purchased eBay Listing # (for reference)</t>
  </si>
  <si>
    <t>- Original Fault (issue before repair)</t>
  </si>
  <si>
    <t>- Current Status: 'Fixed' or 'Not Fixed'</t>
  </si>
  <si>
    <t>- How Did You Fix: Description of repair steps</t>
  </si>
  <si>
    <t>Log each electronic item here, with cost, fees, sale price, and profits.</t>
  </si>
  <si>
    <t>Track both estimated and actual profits here.</t>
  </si>
  <si>
    <t>Summarizes your total earnings.</t>
  </si>
  <si>
    <t>Includes:</t>
  </si>
  <si>
    <t>- Estimated vs. Actual Profit</t>
  </si>
  <si>
    <t>- Time worked &amp; hourly rate (optional)</t>
  </si>
  <si>
    <t>Overview of your total profits and goals.</t>
  </si>
  <si>
    <t>Compare actual results to your profit targets.</t>
  </si>
  <si>
    <t>🛠️ HOW TO EDIT FORMULAS</t>
  </si>
  <si>
    <t>Some fields like 'eBay Fee (9%)' are auto-calculated.</t>
  </si>
  <si>
    <t>To change or view the formula:</t>
  </si>
  <si>
    <t>1. Click the cell with the formula</t>
  </si>
  <si>
    <t>2. Look at the formula bar (top of the screen)</t>
  </si>
  <si>
    <t>3. Edit it directly if needed (e.g., change fee to 10%)</t>
  </si>
  <si>
    <t>💡 TIPS FOR USING THIS SPREADSHEET</t>
  </si>
  <si>
    <t>- Fill in data consistently for accurate tracking</t>
  </si>
  <si>
    <t>- Use the Calculator tab before buying an item</t>
  </si>
  <si>
    <t>- Log repair steps for learning and reference</t>
  </si>
  <si>
    <t>- Update Actual values after each sale</t>
  </si>
  <si>
    <t>- Track hours worked to monitor time vs. income</t>
  </si>
  <si>
    <t>Cost</t>
  </si>
  <si>
    <t>Parts</t>
  </si>
  <si>
    <t>eBay Fee (9%)</t>
  </si>
  <si>
    <t>Sell Price</t>
  </si>
  <si>
    <t xml:space="preserve">Gross Profit </t>
  </si>
  <si>
    <t xml:space="preserve"> </t>
  </si>
  <si>
    <t>Item</t>
  </si>
  <si>
    <t>Purchased eBay Listing #</t>
  </si>
  <si>
    <t>Original Fault</t>
  </si>
  <si>
    <t>Current Status (Fixed/Not Fixed)</t>
  </si>
  <si>
    <t>How Did You Fix</t>
  </si>
  <si>
    <t>eBay Listing #</t>
  </si>
  <si>
    <t>Estimated Sell Price</t>
  </si>
  <si>
    <t xml:space="preserve">Estimated Profit </t>
  </si>
  <si>
    <t>Actual eBay Sell Price (inc fees)</t>
  </si>
  <si>
    <t>Postage</t>
  </si>
  <si>
    <t>Net Profit</t>
  </si>
  <si>
    <t>Estimated Profit</t>
  </si>
  <si>
    <t>Actual Profit</t>
  </si>
  <si>
    <t>Hours Worked</t>
  </si>
  <si>
    <t>Hourly Profit</t>
  </si>
  <si>
    <t>Total Hourly Profit</t>
  </si>
  <si>
    <t>Estimated Total Profit</t>
  </si>
  <si>
    <t>Actual Total Profit</t>
  </si>
  <si>
    <t>Target</t>
  </si>
  <si>
    <t>Total Hours Worked</t>
  </si>
  <si>
    <t>Postage Total</t>
  </si>
  <si>
    <t>1 Calculator</t>
  </si>
  <si>
    <t>2 Faults</t>
  </si>
  <si>
    <t>3 Items</t>
  </si>
  <si>
    <t>4 Total Profit</t>
  </si>
  <si>
    <t>5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</si>
</sst>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Aptos Narrow"/>
    </font>
    <font>
      <i/>
      <sz val="11"/>
      <name val="Aptos Narrow"/>
    </font>
    <font>
      <b/>
      <sz val="28"/>
      <color theme="1"/>
      <name val="Aptos Narrow"/>
      <family val="2"/>
      <scheme val="minor"/>
    </font>
    <font>
      <b/>
      <sz val="11"/>
      <color rgb="FFFFFFFF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C00000"/>
        <bgColor rgb="FFC00000"/>
      </patternFill>
    </fill>
    <fill>
      <patternFill patternType="solid">
        <fgColor rgb="FF00B050"/>
        <bgColor rgb="FF00B050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 wrapText="1"/>
    </xf>
    <xf numFmtId="164" fontId="0" fillId="4" borderId="2" xfId="0" applyNumberForma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" fontId="0" fillId="3" borderId="1" xfId="0" applyNumberForma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top" wrapText="1"/>
    </xf>
    <xf numFmtId="0" fontId="4" fillId="5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6" borderId="0" xfId="0" applyFont="1" applyFill="1" applyAlignment="1">
      <alignment vertical="top" wrapText="1"/>
    </xf>
  </cellXfs>
  <cellStyles count="1">
    <cellStyle name="Normal" xfId="0" builtinId="0"/>
  </cellStyles>
  <dxfs count="28"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64" formatCode="&quot;£&quot;#,##0.00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0" formatCode="General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64" formatCode="&quot;£&quot;#,##0.00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64" formatCode="&quot;£&quot;#,##0.00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64" formatCode="&quot;£&quot;#,##0.00"/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  <numFmt numFmtId="164" formatCode="&quot;£&quot;#,##0.00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  <numFmt numFmtId="164" formatCode="&quot;£&quot;#,##0.00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  <numFmt numFmtId="164" formatCode="&quot;£&quot;#,##0.00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64" formatCode="&quot;£&quot;#,##0.00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64" formatCode="&quot;£&quot;#,##0.00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64" formatCode="&quot;£&quot;#,##0.00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64" formatCode="&quot;£&quot;#,##0.00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64" formatCode="&quot;£&quot;#,##0.00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  <numFmt numFmtId="164" formatCode="&quot;£&quot;#,##0.00"/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64" formatCode="&quot;£&quot;#,##0.00"/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64" formatCode="&quot;£&quot;#,##0.00"/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64" formatCode="&quot;£&quot;#,##0.00"/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  <numFmt numFmtId="164" formatCode="&quot;£&quot;#,##0.00"/>
      <alignment horizontal="center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64" formatCode="&quot;£&quot;#,##0.00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64" formatCode="&quot;£&quot;#,##0.00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64" formatCode="&quot;£&quot;#,##0.00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64" formatCode="&quot;£&quot;#,##0.00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64" formatCode="&quot;£&quot;#,##0.00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  <numFmt numFmtId="164" formatCode="&quot;£&quot;#,##0.00"/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3" displayName="Table13" ref="A1:E2" totalsRowShown="0" headerRowDxfId="27" dataDxfId="26">
  <tableColumns count="5">
    <tableColumn id="1" xr3:uid="{00000000-0010-0000-0000-000001000000}" name="Cost" dataDxfId="25"/>
    <tableColumn id="2" xr3:uid="{00000000-0010-0000-0000-000002000000}" name="Parts" dataDxfId="24"/>
    <tableColumn id="3" xr3:uid="{00000000-0010-0000-0000-000003000000}" name="eBay Fee (9%)" dataDxfId="23">
      <calculatedColumnFormula>0.09*Table13[[#This Row],[Sell Price]]</calculatedColumnFormula>
    </tableColumn>
    <tableColumn id="5" xr3:uid="{00000000-0010-0000-0000-000005000000}" name="Sell Price" dataDxfId="22"/>
    <tableColumn id="4" xr3:uid="{00000000-0010-0000-0000-000004000000}" name="Gross Profit " dataDxfId="21">
      <calculatedColumnFormula>Table13[[#This Row],[Sell Price]]-Table13[[#This Row],[eBay Fee (9%)]]-Table13[[#This Row],[Parts]]-Table13[[#This Row],[Cost]]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364" displayName="Table1364" ref="C1:E267" totalsRowShown="0" headerRowDxfId="20" dataDxfId="19">
  <tableColumns count="3">
    <tableColumn id="1" xr3:uid="{00000000-0010-0000-0100-000001000000}" name="Original Fault" dataDxfId="18"/>
    <tableColumn id="2" xr3:uid="{00000000-0010-0000-0100-000002000000}" name="Current Status (Fixed/Not Fixed)" dataDxfId="17"/>
    <tableColumn id="5" xr3:uid="{00000000-0010-0000-0100-000005000000}" name="How Did You Fix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36" displayName="Table136" ref="C1:J267" totalsRowShown="0" headerRowDxfId="15" dataDxfId="14">
  <tableColumns count="8">
    <tableColumn id="1" xr3:uid="{00000000-0010-0000-0200-000001000000}" name="Cost" dataDxfId="13"/>
    <tableColumn id="2" xr3:uid="{00000000-0010-0000-0200-000002000000}" name="Parts" dataDxfId="12"/>
    <tableColumn id="3" xr3:uid="{00000000-0010-0000-0200-000003000000}" name="eBay Fee (9%)" dataDxfId="11">
      <calculatedColumnFormula>0.09*Table136[[#This Row],[Estimated Sell Price]]</calculatedColumnFormula>
    </tableColumn>
    <tableColumn id="5" xr3:uid="{00000000-0010-0000-0200-000005000000}" name="Estimated Sell Price" dataDxfId="10"/>
    <tableColumn id="4" xr3:uid="{00000000-0010-0000-0200-000004000000}" name="Estimated Profit " dataDxfId="9">
      <calculatedColumnFormula>Table136[[#This Row],[Estimated Sell Price]]-Table136[[#This Row],[eBay Fee (9%)]]-Table136[[#This Row],[Parts]]-Table136[[#This Row],[Cost]]-Table136[[#This Row],[Postage]]</calculatedColumnFormula>
    </tableColumn>
    <tableColumn id="6" xr3:uid="{00000000-0010-0000-0200-000006000000}" name="Actual eBay Sell Price (inc fees)" dataDxfId="8"/>
    <tableColumn id="7" xr3:uid="{00000000-0010-0000-0200-000007000000}" name="Postage" dataDxfId="7"/>
    <tableColumn id="9" xr3:uid="{00000000-0010-0000-0200-000009000000}" name="Net Profit" dataDxfId="6">
      <calculatedColumnFormula>SUM(Table136[[#This Row],[Actual eBay Sell Price (inc fees)]]-Table136[[#This Row],[Parts]]-Table136[[#This Row],[Cost]]-Table136[[#This Row],[Postage]])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1" displayName="Table1" ref="A1:D105" totalsRowShown="0" headerRowDxfId="5" dataDxfId="4">
  <tableColumns count="4">
    <tableColumn id="4" xr3:uid="{00000000-0010-0000-0300-000004000000}" name="Estimated Profit" dataDxfId="3"/>
    <tableColumn id="1" xr3:uid="{00000000-0010-0000-0300-000001000000}" name="Actual Profit" dataDxfId="2"/>
    <tableColumn id="2" xr3:uid="{00000000-0010-0000-0300-000002000000}" name="Hours Worked" dataDxfId="1"/>
    <tableColumn id="5" xr3:uid="{00000000-0010-0000-0300-000005000000}" name="Hourly Profit" dataDxfId="0">
      <calculatedColumnFormula>IFERROR(Table1[[#This Row],[Actual Profit]]/Table1[[#This Row],[Hours Worked]],"")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1"/>
  <sheetViews>
    <sheetView showGridLines="0" tabSelected="1" workbookViewId="0">
      <selection activeCell="A7" sqref="A7"/>
    </sheetView>
  </sheetViews>
  <sheetFormatPr defaultColWidth="62" defaultRowHeight="15" x14ac:dyDescent="0.25"/>
  <cols>
    <col min="1" max="1" width="114.7109375" customWidth="1"/>
  </cols>
  <sheetData>
    <row r="1" spans="1:1" ht="37.5" customHeight="1" x14ac:dyDescent="0.25">
      <c r="A1" s="27" t="s">
        <v>0</v>
      </c>
    </row>
    <row r="3" spans="1:1" ht="27.75" customHeight="1" x14ac:dyDescent="0.25">
      <c r="A3" s="25" t="s">
        <v>1</v>
      </c>
    </row>
    <row r="4" spans="1:1" ht="24.75" customHeight="1" x14ac:dyDescent="0.25">
      <c r="A4" s="24" t="s">
        <v>2</v>
      </c>
    </row>
    <row r="6" spans="1:1" ht="23.25" customHeight="1" x14ac:dyDescent="0.25">
      <c r="A6" s="25" t="s">
        <v>3</v>
      </c>
    </row>
    <row r="7" spans="1:1" ht="16.5" customHeight="1" x14ac:dyDescent="0.25">
      <c r="A7" s="28" t="s">
        <v>65</v>
      </c>
    </row>
    <row r="8" spans="1:1" ht="23.25" customHeight="1" x14ac:dyDescent="0.25">
      <c r="A8" s="24" t="s">
        <v>4</v>
      </c>
    </row>
    <row r="9" spans="1:1" x14ac:dyDescent="0.25">
      <c r="A9" s="24" t="s">
        <v>5</v>
      </c>
    </row>
    <row r="10" spans="1:1" x14ac:dyDescent="0.25">
      <c r="A10" s="26" t="s">
        <v>6</v>
      </c>
    </row>
    <row r="11" spans="1:1" x14ac:dyDescent="0.25">
      <c r="A11" s="26" t="s">
        <v>7</v>
      </c>
    </row>
    <row r="12" spans="1:1" x14ac:dyDescent="0.25">
      <c r="A12" s="26" t="s">
        <v>8</v>
      </c>
    </row>
    <row r="13" spans="1:1" x14ac:dyDescent="0.25">
      <c r="A13" s="26" t="s">
        <v>9</v>
      </c>
    </row>
    <row r="14" spans="1:1" x14ac:dyDescent="0.25">
      <c r="A14" s="26" t="s">
        <v>10</v>
      </c>
    </row>
    <row r="16" spans="1:1" x14ac:dyDescent="0.25">
      <c r="A16" s="28" t="s">
        <v>66</v>
      </c>
    </row>
    <row r="17" spans="1:1" x14ac:dyDescent="0.25">
      <c r="A17" s="24" t="s">
        <v>11</v>
      </c>
    </row>
    <row r="18" spans="1:1" x14ac:dyDescent="0.25">
      <c r="A18" s="24" t="s">
        <v>12</v>
      </c>
    </row>
    <row r="19" spans="1:1" x14ac:dyDescent="0.25">
      <c r="A19" s="26" t="s">
        <v>13</v>
      </c>
    </row>
    <row r="20" spans="1:1" x14ac:dyDescent="0.25">
      <c r="A20" s="26" t="s">
        <v>14</v>
      </c>
    </row>
    <row r="21" spans="1:1" x14ac:dyDescent="0.25">
      <c r="A21" s="26" t="s">
        <v>15</v>
      </c>
    </row>
    <row r="22" spans="1:1" x14ac:dyDescent="0.25">
      <c r="A22" s="26" t="s">
        <v>16</v>
      </c>
    </row>
    <row r="23" spans="1:1" x14ac:dyDescent="0.25">
      <c r="A23" s="26" t="s">
        <v>17</v>
      </c>
    </row>
    <row r="25" spans="1:1" x14ac:dyDescent="0.25">
      <c r="A25" s="28" t="s">
        <v>67</v>
      </c>
    </row>
    <row r="26" spans="1:1" x14ac:dyDescent="0.25">
      <c r="A26" s="24" t="s">
        <v>18</v>
      </c>
    </row>
    <row r="27" spans="1:1" x14ac:dyDescent="0.25">
      <c r="A27" s="24" t="s">
        <v>19</v>
      </c>
    </row>
    <row r="29" spans="1:1" x14ac:dyDescent="0.25">
      <c r="A29" s="28" t="s">
        <v>68</v>
      </c>
    </row>
    <row r="30" spans="1:1" x14ac:dyDescent="0.25">
      <c r="A30" s="24" t="s">
        <v>20</v>
      </c>
    </row>
    <row r="31" spans="1:1" x14ac:dyDescent="0.25">
      <c r="A31" s="24" t="s">
        <v>21</v>
      </c>
    </row>
    <row r="32" spans="1:1" x14ac:dyDescent="0.25">
      <c r="A32" s="26" t="s">
        <v>22</v>
      </c>
    </row>
    <row r="33" spans="1:1" x14ac:dyDescent="0.25">
      <c r="A33" s="26" t="s">
        <v>23</v>
      </c>
    </row>
    <row r="35" spans="1:1" x14ac:dyDescent="0.25">
      <c r="A35" s="28" t="s">
        <v>69</v>
      </c>
    </row>
    <row r="36" spans="1:1" x14ac:dyDescent="0.25">
      <c r="A36" s="24" t="s">
        <v>24</v>
      </c>
    </row>
    <row r="37" spans="1:1" x14ac:dyDescent="0.25">
      <c r="A37" s="24" t="s">
        <v>25</v>
      </c>
    </row>
    <row r="39" spans="1:1" x14ac:dyDescent="0.25">
      <c r="A39" s="25" t="s">
        <v>26</v>
      </c>
    </row>
    <row r="40" spans="1:1" x14ac:dyDescent="0.25">
      <c r="A40" s="24" t="s">
        <v>27</v>
      </c>
    </row>
    <row r="41" spans="1:1" x14ac:dyDescent="0.25">
      <c r="A41" s="24" t="s">
        <v>28</v>
      </c>
    </row>
    <row r="42" spans="1:1" x14ac:dyDescent="0.25">
      <c r="A42" s="26" t="s">
        <v>29</v>
      </c>
    </row>
    <row r="43" spans="1:1" x14ac:dyDescent="0.25">
      <c r="A43" s="26" t="s">
        <v>30</v>
      </c>
    </row>
    <row r="44" spans="1:1" x14ac:dyDescent="0.25">
      <c r="A44" s="26" t="s">
        <v>31</v>
      </c>
    </row>
    <row r="46" spans="1:1" x14ac:dyDescent="0.25">
      <c r="A46" s="25" t="s">
        <v>32</v>
      </c>
    </row>
    <row r="47" spans="1:1" x14ac:dyDescent="0.25">
      <c r="A47" s="26" t="s">
        <v>33</v>
      </c>
    </row>
    <row r="48" spans="1:1" x14ac:dyDescent="0.25">
      <c r="A48" s="26" t="s">
        <v>34</v>
      </c>
    </row>
    <row r="49" spans="1:1" x14ac:dyDescent="0.25">
      <c r="A49" s="26" t="s">
        <v>35</v>
      </c>
    </row>
    <row r="50" spans="1:1" x14ac:dyDescent="0.25">
      <c r="A50" s="26" t="s">
        <v>36</v>
      </c>
    </row>
    <row r="51" spans="1:1" x14ac:dyDescent="0.25">
      <c r="A51" s="26" t="s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zoomScale="175" zoomScaleNormal="175" workbookViewId="0">
      <selection activeCell="D16" sqref="D16"/>
    </sheetView>
  </sheetViews>
  <sheetFormatPr defaultRowHeight="15" x14ac:dyDescent="0.25"/>
  <cols>
    <col min="1" max="1" width="7.85546875" bestFit="1" customWidth="1"/>
    <col min="2" max="2" width="6.5703125" bestFit="1" customWidth="1"/>
    <col min="3" max="3" width="18" bestFit="1" customWidth="1"/>
    <col min="4" max="4" width="9.42578125" bestFit="1" customWidth="1"/>
    <col min="5" max="5" width="11.85546875" bestFit="1" customWidth="1"/>
  </cols>
  <sheetData>
    <row r="1" spans="1:8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/>
      <c r="G1" s="1"/>
      <c r="H1" s="1"/>
    </row>
    <row r="2" spans="1:8" x14ac:dyDescent="0.25">
      <c r="A2" s="2"/>
      <c r="B2" s="2">
        <v>0</v>
      </c>
      <c r="C2" s="2">
        <f>0.09*Table13[[#This Row],[Sell Price]]</f>
        <v>0</v>
      </c>
      <c r="D2" s="2"/>
      <c r="E2" s="2">
        <f>Table13[[#This Row],[Sell Price]]-Table13[[#This Row],[eBay Fee (9%)]]-Table13[[#This Row],[Parts]]-Table13[[#This Row],[Cost]]</f>
        <v>0</v>
      </c>
    </row>
    <row r="3" spans="1:8" x14ac:dyDescent="0.25">
      <c r="A3" s="2"/>
      <c r="B3" s="2"/>
      <c r="C3" s="2"/>
      <c r="D3" s="2"/>
      <c r="E3" s="2"/>
    </row>
    <row r="4" spans="1:8" x14ac:dyDescent="0.25">
      <c r="A4" s="2"/>
      <c r="B4" s="2"/>
      <c r="C4" s="2"/>
      <c r="D4" s="2"/>
      <c r="E4" s="2"/>
    </row>
    <row r="5" spans="1:8" x14ac:dyDescent="0.25">
      <c r="A5" s="2"/>
      <c r="B5" s="2"/>
      <c r="C5" s="2"/>
      <c r="D5" s="2"/>
      <c r="E5" s="2"/>
    </row>
    <row r="6" spans="1:8" x14ac:dyDescent="0.25">
      <c r="A6" s="2"/>
      <c r="B6" s="2"/>
      <c r="C6" s="2"/>
      <c r="D6" s="2"/>
      <c r="E6" s="2" t="s">
        <v>43</v>
      </c>
    </row>
    <row r="7" spans="1:8" x14ac:dyDescent="0.25">
      <c r="A7" s="2"/>
      <c r="B7" s="2"/>
      <c r="C7" s="2"/>
      <c r="D7" s="2"/>
      <c r="E7" s="2"/>
    </row>
    <row r="8" spans="1:8" x14ac:dyDescent="0.25">
      <c r="A8" s="2"/>
      <c r="B8" s="2"/>
      <c r="C8" s="2"/>
      <c r="D8" s="2"/>
      <c r="E8" s="2"/>
    </row>
    <row r="9" spans="1:8" x14ac:dyDescent="0.25">
      <c r="A9" s="2"/>
      <c r="B9" s="2"/>
      <c r="C9" s="2"/>
      <c r="D9" s="2"/>
      <c r="E9" s="2"/>
    </row>
  </sheetData>
  <conditionalFormatting sqref="E2">
    <cfRule type="colorScale" priority="1">
      <colorScale>
        <cfvo type="num" val="0"/>
        <cfvo type="num" val="1"/>
        <color rgb="FFFF0000"/>
        <color theme="9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67"/>
  <sheetViews>
    <sheetView zoomScale="130" zoomScaleNormal="130" workbookViewId="0">
      <selection activeCell="D16" sqref="D16"/>
    </sheetView>
  </sheetViews>
  <sheetFormatPr defaultRowHeight="15" x14ac:dyDescent="0.25"/>
  <cols>
    <col min="1" max="1" width="18.7109375" style="22" customWidth="1"/>
    <col min="2" max="2" width="18.7109375" style="23" customWidth="1"/>
    <col min="3" max="4" width="18.7109375" style="19" customWidth="1"/>
    <col min="5" max="5" width="58.7109375" style="19" customWidth="1"/>
    <col min="6" max="6" width="18.7109375" style="19" customWidth="1"/>
    <col min="7" max="7" width="9.140625" style="19" customWidth="1"/>
    <col min="8" max="16384" width="9.140625" style="19"/>
  </cols>
  <sheetData>
    <row r="1" spans="1:6" ht="36" customHeight="1" x14ac:dyDescent="0.25">
      <c r="A1" s="17" t="s">
        <v>44</v>
      </c>
      <c r="B1" s="16" t="s">
        <v>45</v>
      </c>
      <c r="C1" s="18" t="s">
        <v>46</v>
      </c>
      <c r="D1" s="18" t="s">
        <v>47</v>
      </c>
      <c r="E1" s="18" t="s">
        <v>48</v>
      </c>
      <c r="F1" s="18"/>
    </row>
    <row r="2" spans="1:6" x14ac:dyDescent="0.25">
      <c r="A2" s="14"/>
      <c r="B2" s="20"/>
      <c r="C2" s="21"/>
      <c r="D2" s="21"/>
      <c r="E2" s="21"/>
    </row>
    <row r="3" spans="1:6" x14ac:dyDescent="0.25">
      <c r="A3" s="14"/>
      <c r="B3" s="20"/>
      <c r="C3" s="21"/>
      <c r="D3" s="21"/>
      <c r="E3" s="21"/>
    </row>
    <row r="4" spans="1:6" x14ac:dyDescent="0.25">
      <c r="A4" s="14"/>
      <c r="B4" s="20"/>
      <c r="C4" s="21"/>
      <c r="D4" s="21"/>
      <c r="E4" s="21"/>
    </row>
    <row r="5" spans="1:6" x14ac:dyDescent="0.25">
      <c r="A5" s="14"/>
      <c r="B5" s="20"/>
      <c r="C5" s="21"/>
      <c r="D5" s="21"/>
      <c r="E5" s="21"/>
    </row>
    <row r="6" spans="1:6" x14ac:dyDescent="0.25">
      <c r="A6" s="14"/>
      <c r="B6" s="20"/>
      <c r="C6" s="21"/>
      <c r="D6" s="21"/>
      <c r="E6" s="21"/>
    </row>
    <row r="7" spans="1:6" x14ac:dyDescent="0.25">
      <c r="A7" s="14"/>
      <c r="B7" s="20"/>
      <c r="C7" s="21"/>
      <c r="D7" s="21"/>
      <c r="E7" s="21"/>
    </row>
    <row r="8" spans="1:6" x14ac:dyDescent="0.25">
      <c r="A8" s="14"/>
      <c r="B8" s="20"/>
      <c r="C8" s="21"/>
      <c r="D8" s="21"/>
      <c r="E8" s="21"/>
    </row>
    <row r="9" spans="1:6" x14ac:dyDescent="0.25">
      <c r="A9" s="14"/>
      <c r="B9" s="20"/>
      <c r="C9" s="21"/>
      <c r="D9" s="21"/>
      <c r="E9" s="21"/>
    </row>
    <row r="10" spans="1:6" x14ac:dyDescent="0.25">
      <c r="A10" s="14"/>
      <c r="B10" s="20"/>
      <c r="C10" s="21"/>
      <c r="D10" s="21"/>
      <c r="E10" s="21"/>
    </row>
    <row r="11" spans="1:6" x14ac:dyDescent="0.25">
      <c r="A11" s="14"/>
      <c r="B11" s="20"/>
      <c r="C11" s="21"/>
      <c r="D11" s="21"/>
      <c r="E11" s="21"/>
    </row>
    <row r="12" spans="1:6" x14ac:dyDescent="0.25">
      <c r="A12" s="14"/>
      <c r="B12" s="20"/>
      <c r="C12" s="21"/>
      <c r="D12" s="21"/>
      <c r="E12" s="21"/>
    </row>
    <row r="13" spans="1:6" x14ac:dyDescent="0.25">
      <c r="A13" s="14"/>
      <c r="B13" s="20"/>
      <c r="C13" s="21"/>
      <c r="D13" s="21"/>
      <c r="E13" s="21"/>
    </row>
    <row r="14" spans="1:6" x14ac:dyDescent="0.25">
      <c r="A14" s="14"/>
      <c r="B14" s="20"/>
      <c r="C14" s="21"/>
      <c r="D14" s="21"/>
      <c r="E14" s="21"/>
    </row>
    <row r="15" spans="1:6" x14ac:dyDescent="0.25">
      <c r="A15" s="14"/>
      <c r="B15" s="20"/>
      <c r="C15" s="21"/>
      <c r="D15" s="21"/>
      <c r="E15" s="21"/>
    </row>
    <row r="16" spans="1:6" x14ac:dyDescent="0.25">
      <c r="A16" s="14"/>
      <c r="B16" s="20"/>
      <c r="C16" s="21"/>
      <c r="D16" s="21"/>
      <c r="E16" s="21"/>
    </row>
    <row r="17" spans="1:5" x14ac:dyDescent="0.25">
      <c r="A17" s="14"/>
      <c r="B17" s="20"/>
      <c r="C17" s="21"/>
      <c r="D17" s="21"/>
      <c r="E17" s="21"/>
    </row>
    <row r="18" spans="1:5" x14ac:dyDescent="0.25">
      <c r="A18" s="14"/>
      <c r="B18" s="20"/>
      <c r="C18" s="21"/>
      <c r="D18" s="21"/>
      <c r="E18" s="21"/>
    </row>
    <row r="19" spans="1:5" x14ac:dyDescent="0.25">
      <c r="A19" s="14"/>
      <c r="B19" s="20"/>
      <c r="C19" s="21"/>
      <c r="D19" s="21"/>
      <c r="E19" s="21"/>
    </row>
    <row r="20" spans="1:5" x14ac:dyDescent="0.25">
      <c r="A20" s="14"/>
      <c r="B20" s="20"/>
      <c r="C20" s="21"/>
      <c r="D20" s="21"/>
      <c r="E20" s="21"/>
    </row>
    <row r="21" spans="1:5" x14ac:dyDescent="0.25">
      <c r="A21" s="14"/>
      <c r="B21" s="20"/>
      <c r="C21" s="21"/>
      <c r="D21" s="21"/>
      <c r="E21" s="21"/>
    </row>
    <row r="22" spans="1:5" x14ac:dyDescent="0.25">
      <c r="A22" s="14"/>
      <c r="B22" s="20"/>
      <c r="C22" s="21"/>
      <c r="D22" s="21"/>
      <c r="E22" s="21"/>
    </row>
    <row r="23" spans="1:5" x14ac:dyDescent="0.25">
      <c r="A23" s="14"/>
      <c r="B23" s="20"/>
      <c r="C23" s="21"/>
      <c r="D23" s="21"/>
      <c r="E23" s="21"/>
    </row>
    <row r="24" spans="1:5" x14ac:dyDescent="0.25">
      <c r="A24" s="14"/>
      <c r="B24" s="20"/>
      <c r="C24" s="21"/>
      <c r="D24" s="21"/>
      <c r="E24" s="21"/>
    </row>
    <row r="25" spans="1:5" x14ac:dyDescent="0.25">
      <c r="A25" s="14"/>
      <c r="B25" s="20"/>
      <c r="C25" s="21"/>
      <c r="D25" s="21"/>
      <c r="E25" s="21"/>
    </row>
    <row r="26" spans="1:5" x14ac:dyDescent="0.25">
      <c r="A26" s="14"/>
      <c r="B26" s="20"/>
      <c r="C26" s="21"/>
      <c r="D26" s="21"/>
      <c r="E26" s="21"/>
    </row>
    <row r="27" spans="1:5" x14ac:dyDescent="0.25">
      <c r="A27" s="14"/>
      <c r="B27" s="20"/>
      <c r="C27" s="21"/>
      <c r="D27" s="21"/>
      <c r="E27" s="21"/>
    </row>
    <row r="28" spans="1:5" x14ac:dyDescent="0.25">
      <c r="A28" s="14"/>
      <c r="B28" s="20"/>
      <c r="C28" s="21"/>
      <c r="D28" s="21"/>
      <c r="E28" s="21"/>
    </row>
    <row r="29" spans="1:5" x14ac:dyDescent="0.25">
      <c r="A29" s="14"/>
      <c r="B29" s="20"/>
      <c r="C29" s="21"/>
      <c r="D29" s="21"/>
      <c r="E29" s="21"/>
    </row>
    <row r="30" spans="1:5" x14ac:dyDescent="0.25">
      <c r="A30" s="14"/>
      <c r="B30" s="20"/>
      <c r="C30" s="21"/>
      <c r="D30" s="21"/>
      <c r="E30" s="21"/>
    </row>
    <row r="31" spans="1:5" x14ac:dyDescent="0.25">
      <c r="A31" s="14"/>
      <c r="B31" s="20"/>
      <c r="C31" s="21"/>
      <c r="D31" s="21"/>
      <c r="E31" s="21"/>
    </row>
    <row r="32" spans="1:5" x14ac:dyDescent="0.25">
      <c r="A32" s="14"/>
      <c r="B32" s="20"/>
      <c r="C32" s="21"/>
      <c r="D32" s="21"/>
      <c r="E32" s="21"/>
    </row>
    <row r="33" spans="1:5" x14ac:dyDescent="0.25">
      <c r="A33" s="14"/>
      <c r="B33" s="20"/>
      <c r="C33" s="21"/>
      <c r="D33" s="21"/>
      <c r="E33" s="21"/>
    </row>
    <row r="34" spans="1:5" x14ac:dyDescent="0.25">
      <c r="A34" s="14"/>
      <c r="B34" s="20"/>
      <c r="C34" s="21"/>
      <c r="D34" s="21"/>
      <c r="E34" s="21"/>
    </row>
    <row r="35" spans="1:5" x14ac:dyDescent="0.25">
      <c r="A35" s="14"/>
      <c r="B35" s="20"/>
      <c r="C35" s="21"/>
      <c r="D35" s="21"/>
      <c r="E35" s="21"/>
    </row>
    <row r="36" spans="1:5" x14ac:dyDescent="0.25">
      <c r="A36" s="14"/>
      <c r="B36" s="20"/>
      <c r="C36" s="21"/>
      <c r="D36" s="21"/>
      <c r="E36" s="21"/>
    </row>
    <row r="37" spans="1:5" x14ac:dyDescent="0.25">
      <c r="A37" s="14"/>
      <c r="B37" s="20"/>
      <c r="C37" s="21"/>
      <c r="D37" s="21"/>
      <c r="E37" s="21"/>
    </row>
    <row r="38" spans="1:5" x14ac:dyDescent="0.25">
      <c r="A38" s="14"/>
      <c r="B38" s="20"/>
      <c r="C38" s="21"/>
      <c r="D38" s="21"/>
      <c r="E38" s="21"/>
    </row>
    <row r="39" spans="1:5" x14ac:dyDescent="0.25">
      <c r="A39" s="14"/>
      <c r="B39" s="20"/>
      <c r="C39" s="21"/>
      <c r="D39" s="21"/>
      <c r="E39" s="21"/>
    </row>
    <row r="40" spans="1:5" x14ac:dyDescent="0.25">
      <c r="A40" s="14"/>
      <c r="B40" s="20"/>
      <c r="C40" s="21"/>
      <c r="D40" s="21"/>
      <c r="E40" s="21"/>
    </row>
    <row r="41" spans="1:5" x14ac:dyDescent="0.25">
      <c r="A41" s="14"/>
      <c r="B41" s="20"/>
      <c r="C41" s="21"/>
      <c r="D41" s="21"/>
      <c r="E41" s="21"/>
    </row>
    <row r="42" spans="1:5" x14ac:dyDescent="0.25">
      <c r="A42" s="14"/>
      <c r="B42" s="20"/>
      <c r="C42" s="21"/>
      <c r="D42" s="21"/>
      <c r="E42" s="21"/>
    </row>
    <row r="43" spans="1:5" x14ac:dyDescent="0.25">
      <c r="A43" s="14"/>
      <c r="B43" s="20"/>
      <c r="C43" s="21"/>
      <c r="D43" s="21"/>
      <c r="E43" s="21"/>
    </row>
    <row r="44" spans="1:5" x14ac:dyDescent="0.25">
      <c r="A44" s="14"/>
      <c r="B44" s="20"/>
      <c r="C44" s="21"/>
      <c r="D44" s="21"/>
      <c r="E44" s="21"/>
    </row>
    <row r="45" spans="1:5" x14ac:dyDescent="0.25">
      <c r="A45" s="14"/>
      <c r="B45" s="20"/>
      <c r="C45" s="21"/>
      <c r="D45" s="21"/>
      <c r="E45" s="21"/>
    </row>
    <row r="46" spans="1:5" x14ac:dyDescent="0.25">
      <c r="A46" s="14"/>
      <c r="B46" s="20"/>
      <c r="C46" s="21"/>
      <c r="D46" s="21"/>
      <c r="E46" s="21"/>
    </row>
    <row r="47" spans="1:5" x14ac:dyDescent="0.25">
      <c r="A47" s="14"/>
      <c r="B47" s="20"/>
      <c r="C47" s="21"/>
      <c r="D47" s="21"/>
      <c r="E47" s="21"/>
    </row>
    <row r="48" spans="1:5" x14ac:dyDescent="0.25">
      <c r="A48" s="14"/>
      <c r="B48" s="20"/>
      <c r="C48" s="21"/>
      <c r="D48" s="21"/>
      <c r="E48" s="21"/>
    </row>
    <row r="49" spans="1:5" x14ac:dyDescent="0.25">
      <c r="A49" s="14"/>
      <c r="B49" s="20"/>
      <c r="C49" s="21"/>
      <c r="D49" s="21"/>
      <c r="E49" s="21"/>
    </row>
    <row r="50" spans="1:5" x14ac:dyDescent="0.25">
      <c r="A50" s="14"/>
      <c r="B50" s="20"/>
      <c r="C50" s="21"/>
      <c r="D50" s="21"/>
      <c r="E50" s="21"/>
    </row>
    <row r="51" spans="1:5" x14ac:dyDescent="0.25">
      <c r="A51" s="14"/>
      <c r="B51" s="20"/>
      <c r="C51" s="21"/>
      <c r="D51" s="21"/>
      <c r="E51" s="21"/>
    </row>
    <row r="52" spans="1:5" x14ac:dyDescent="0.25">
      <c r="A52" s="14"/>
      <c r="B52" s="20"/>
      <c r="C52" s="21"/>
      <c r="D52" s="21"/>
      <c r="E52" s="21"/>
    </row>
    <row r="53" spans="1:5" x14ac:dyDescent="0.25">
      <c r="A53" s="14"/>
      <c r="B53" s="20"/>
      <c r="C53" s="21"/>
      <c r="D53" s="21"/>
      <c r="E53" s="21"/>
    </row>
    <row r="54" spans="1:5" x14ac:dyDescent="0.25">
      <c r="A54" s="14"/>
      <c r="B54" s="20"/>
      <c r="C54" s="21"/>
      <c r="D54" s="21"/>
      <c r="E54" s="21"/>
    </row>
    <row r="55" spans="1:5" x14ac:dyDescent="0.25">
      <c r="A55" s="14"/>
      <c r="B55" s="20"/>
      <c r="C55" s="21"/>
      <c r="D55" s="21"/>
      <c r="E55" s="21"/>
    </row>
    <row r="56" spans="1:5" x14ac:dyDescent="0.25">
      <c r="A56" s="14"/>
      <c r="B56" s="20"/>
      <c r="C56" s="21"/>
      <c r="D56" s="21"/>
      <c r="E56" s="21"/>
    </row>
    <row r="57" spans="1:5" x14ac:dyDescent="0.25">
      <c r="A57" s="14"/>
      <c r="B57" s="20"/>
      <c r="C57" s="21"/>
      <c r="D57" s="21"/>
      <c r="E57" s="21"/>
    </row>
    <row r="58" spans="1:5" x14ac:dyDescent="0.25">
      <c r="A58" s="14"/>
      <c r="B58" s="20"/>
      <c r="C58" s="21"/>
      <c r="D58" s="21"/>
      <c r="E58" s="21"/>
    </row>
    <row r="59" spans="1:5" x14ac:dyDescent="0.25">
      <c r="A59" s="14"/>
      <c r="B59" s="20"/>
      <c r="C59" s="21"/>
      <c r="D59" s="21"/>
      <c r="E59" s="21"/>
    </row>
    <row r="60" spans="1:5" x14ac:dyDescent="0.25">
      <c r="A60" s="14"/>
      <c r="B60" s="20"/>
      <c r="C60" s="21"/>
      <c r="D60" s="21"/>
      <c r="E60" s="21"/>
    </row>
    <row r="61" spans="1:5" x14ac:dyDescent="0.25">
      <c r="A61" s="14"/>
      <c r="B61" s="20"/>
      <c r="C61" s="21"/>
      <c r="D61" s="21"/>
      <c r="E61" s="21"/>
    </row>
    <row r="62" spans="1:5" x14ac:dyDescent="0.25">
      <c r="A62" s="14"/>
      <c r="B62" s="20"/>
      <c r="C62" s="21"/>
      <c r="D62" s="21"/>
      <c r="E62" s="21"/>
    </row>
    <row r="63" spans="1:5" x14ac:dyDescent="0.25">
      <c r="A63" s="14"/>
      <c r="B63" s="20"/>
      <c r="C63" s="21"/>
      <c r="D63" s="21"/>
      <c r="E63" s="21"/>
    </row>
    <row r="64" spans="1:5" x14ac:dyDescent="0.25">
      <c r="A64" s="14"/>
      <c r="B64" s="20"/>
      <c r="C64" s="21"/>
      <c r="D64" s="21"/>
      <c r="E64" s="21"/>
    </row>
    <row r="65" spans="1:5" x14ac:dyDescent="0.25">
      <c r="A65" s="14"/>
      <c r="B65" s="20"/>
      <c r="C65" s="21"/>
      <c r="D65" s="21"/>
      <c r="E65" s="21"/>
    </row>
    <row r="66" spans="1:5" x14ac:dyDescent="0.25">
      <c r="A66" s="14"/>
      <c r="B66" s="20"/>
      <c r="C66" s="21"/>
      <c r="D66" s="21"/>
      <c r="E66" s="21"/>
    </row>
    <row r="67" spans="1:5" x14ac:dyDescent="0.25">
      <c r="A67" s="14"/>
      <c r="B67" s="20"/>
      <c r="C67" s="21"/>
      <c r="D67" s="21"/>
      <c r="E67" s="21"/>
    </row>
    <row r="68" spans="1:5" x14ac:dyDescent="0.25">
      <c r="A68" s="14"/>
      <c r="B68" s="20"/>
      <c r="C68" s="21"/>
      <c r="D68" s="21"/>
      <c r="E68" s="21"/>
    </row>
    <row r="69" spans="1:5" x14ac:dyDescent="0.25">
      <c r="A69" s="14"/>
      <c r="B69" s="20"/>
      <c r="C69" s="21"/>
      <c r="D69" s="21"/>
      <c r="E69" s="21"/>
    </row>
    <row r="70" spans="1:5" x14ac:dyDescent="0.25">
      <c r="A70" s="14"/>
      <c r="B70" s="20"/>
      <c r="C70" s="21"/>
      <c r="D70" s="21"/>
      <c r="E70" s="21"/>
    </row>
    <row r="71" spans="1:5" x14ac:dyDescent="0.25">
      <c r="A71" s="14"/>
      <c r="B71" s="20"/>
      <c r="C71" s="21"/>
      <c r="D71" s="21"/>
      <c r="E71" s="21"/>
    </row>
    <row r="72" spans="1:5" x14ac:dyDescent="0.25">
      <c r="A72" s="14"/>
      <c r="B72" s="20"/>
      <c r="C72" s="21"/>
      <c r="D72" s="21"/>
      <c r="E72" s="21"/>
    </row>
    <row r="73" spans="1:5" x14ac:dyDescent="0.25">
      <c r="A73" s="14"/>
      <c r="B73" s="20"/>
      <c r="C73" s="21"/>
      <c r="D73" s="21"/>
      <c r="E73" s="21"/>
    </row>
    <row r="74" spans="1:5" x14ac:dyDescent="0.25">
      <c r="A74" s="14"/>
      <c r="B74" s="20"/>
      <c r="C74" s="21"/>
      <c r="D74" s="21"/>
      <c r="E74" s="21"/>
    </row>
    <row r="75" spans="1:5" x14ac:dyDescent="0.25">
      <c r="A75" s="14"/>
      <c r="B75" s="20"/>
      <c r="C75" s="21"/>
      <c r="D75" s="21"/>
      <c r="E75" s="21"/>
    </row>
    <row r="76" spans="1:5" x14ac:dyDescent="0.25">
      <c r="A76" s="14"/>
      <c r="B76" s="20"/>
      <c r="C76" s="21"/>
      <c r="D76" s="21"/>
      <c r="E76" s="21"/>
    </row>
    <row r="77" spans="1:5" x14ac:dyDescent="0.25">
      <c r="A77" s="14"/>
      <c r="B77" s="20"/>
      <c r="C77" s="21"/>
      <c r="D77" s="21"/>
      <c r="E77" s="21"/>
    </row>
    <row r="78" spans="1:5" x14ac:dyDescent="0.25">
      <c r="A78" s="14"/>
      <c r="B78" s="20"/>
      <c r="C78" s="21"/>
      <c r="D78" s="21"/>
      <c r="E78" s="21"/>
    </row>
    <row r="79" spans="1:5" x14ac:dyDescent="0.25">
      <c r="A79" s="14"/>
      <c r="B79" s="20"/>
      <c r="C79" s="21"/>
      <c r="D79" s="21"/>
      <c r="E79" s="21"/>
    </row>
    <row r="80" spans="1:5" x14ac:dyDescent="0.25">
      <c r="A80" s="14"/>
      <c r="B80" s="20"/>
      <c r="C80" s="21"/>
      <c r="D80" s="21"/>
      <c r="E80" s="21"/>
    </row>
    <row r="81" spans="1:5" x14ac:dyDescent="0.25">
      <c r="A81" s="14"/>
      <c r="B81" s="20"/>
      <c r="C81" s="21"/>
      <c r="D81" s="21"/>
      <c r="E81" s="21"/>
    </row>
    <row r="82" spans="1:5" x14ac:dyDescent="0.25">
      <c r="A82" s="14"/>
      <c r="B82" s="20"/>
      <c r="C82" s="21"/>
      <c r="D82" s="21"/>
      <c r="E82" s="21"/>
    </row>
    <row r="83" spans="1:5" x14ac:dyDescent="0.25">
      <c r="A83" s="14"/>
      <c r="B83" s="20"/>
      <c r="C83" s="21"/>
      <c r="D83" s="21"/>
      <c r="E83" s="21"/>
    </row>
    <row r="84" spans="1:5" x14ac:dyDescent="0.25">
      <c r="A84" s="14"/>
      <c r="B84" s="20"/>
      <c r="C84" s="21"/>
      <c r="D84" s="21"/>
      <c r="E84" s="21"/>
    </row>
    <row r="85" spans="1:5" x14ac:dyDescent="0.25">
      <c r="A85" s="14"/>
      <c r="B85" s="20"/>
      <c r="C85" s="21"/>
      <c r="D85" s="21"/>
      <c r="E85" s="21"/>
    </row>
    <row r="86" spans="1:5" x14ac:dyDescent="0.25">
      <c r="A86" s="14"/>
      <c r="B86" s="20"/>
      <c r="C86" s="21"/>
      <c r="D86" s="21"/>
      <c r="E86" s="21"/>
    </row>
    <row r="87" spans="1:5" x14ac:dyDescent="0.25">
      <c r="A87" s="14"/>
      <c r="B87" s="20"/>
      <c r="C87" s="21"/>
      <c r="D87" s="21"/>
      <c r="E87" s="21"/>
    </row>
    <row r="88" spans="1:5" x14ac:dyDescent="0.25">
      <c r="A88" s="14"/>
      <c r="B88" s="20"/>
      <c r="C88" s="21"/>
      <c r="D88" s="21"/>
      <c r="E88" s="21"/>
    </row>
    <row r="89" spans="1:5" x14ac:dyDescent="0.25">
      <c r="A89" s="14"/>
      <c r="B89" s="20"/>
      <c r="C89" s="21"/>
      <c r="D89" s="21"/>
      <c r="E89" s="21"/>
    </row>
    <row r="90" spans="1:5" x14ac:dyDescent="0.25">
      <c r="A90" s="14"/>
      <c r="B90" s="20"/>
      <c r="C90" s="21"/>
      <c r="D90" s="21"/>
      <c r="E90" s="21"/>
    </row>
    <row r="91" spans="1:5" x14ac:dyDescent="0.25">
      <c r="A91" s="14"/>
      <c r="B91" s="20"/>
      <c r="C91" s="21"/>
      <c r="D91" s="21"/>
      <c r="E91" s="21"/>
    </row>
    <row r="92" spans="1:5" x14ac:dyDescent="0.25">
      <c r="A92" s="14"/>
      <c r="B92" s="20"/>
      <c r="C92" s="21"/>
      <c r="D92" s="21"/>
      <c r="E92" s="21"/>
    </row>
    <row r="93" spans="1:5" x14ac:dyDescent="0.25">
      <c r="A93" s="14"/>
      <c r="B93" s="20"/>
      <c r="C93" s="21"/>
      <c r="D93" s="21"/>
      <c r="E93" s="21"/>
    </row>
    <row r="94" spans="1:5" x14ac:dyDescent="0.25">
      <c r="A94" s="14"/>
      <c r="B94" s="20"/>
      <c r="C94" s="21"/>
      <c r="D94" s="21"/>
      <c r="E94" s="21"/>
    </row>
    <row r="95" spans="1:5" x14ac:dyDescent="0.25">
      <c r="A95" s="14"/>
      <c r="B95" s="20"/>
      <c r="C95" s="21"/>
      <c r="D95" s="21"/>
      <c r="E95" s="21"/>
    </row>
    <row r="96" spans="1:5" x14ac:dyDescent="0.25">
      <c r="A96" s="14"/>
      <c r="B96" s="20"/>
      <c r="C96" s="21"/>
      <c r="D96" s="21"/>
      <c r="E96" s="21"/>
    </row>
    <row r="97" spans="1:5" x14ac:dyDescent="0.25">
      <c r="A97" s="14"/>
      <c r="B97" s="20"/>
      <c r="C97" s="21"/>
      <c r="D97" s="21"/>
      <c r="E97" s="21"/>
    </row>
    <row r="98" spans="1:5" x14ac:dyDescent="0.25">
      <c r="A98" s="14"/>
      <c r="B98" s="20"/>
      <c r="C98" s="21"/>
      <c r="D98" s="21"/>
      <c r="E98" s="21"/>
    </row>
    <row r="99" spans="1:5" x14ac:dyDescent="0.25">
      <c r="A99" s="14"/>
      <c r="B99" s="20"/>
      <c r="C99" s="21"/>
      <c r="D99" s="21"/>
      <c r="E99" s="21"/>
    </row>
    <row r="100" spans="1:5" x14ac:dyDescent="0.25">
      <c r="A100" s="14"/>
      <c r="B100" s="20"/>
      <c r="C100" s="21"/>
      <c r="D100" s="21"/>
      <c r="E100" s="21"/>
    </row>
    <row r="101" spans="1:5" x14ac:dyDescent="0.25">
      <c r="A101" s="14"/>
      <c r="B101" s="20"/>
      <c r="C101" s="21"/>
      <c r="D101" s="21"/>
      <c r="E101" s="21"/>
    </row>
    <row r="102" spans="1:5" x14ac:dyDescent="0.25">
      <c r="A102" s="14"/>
      <c r="B102" s="20"/>
      <c r="C102" s="21"/>
      <c r="D102" s="21"/>
      <c r="E102" s="21"/>
    </row>
    <row r="103" spans="1:5" x14ac:dyDescent="0.25">
      <c r="A103" s="14"/>
      <c r="B103" s="20"/>
      <c r="C103" s="21"/>
      <c r="D103" s="21"/>
      <c r="E103" s="21"/>
    </row>
    <row r="104" spans="1:5" x14ac:dyDescent="0.25">
      <c r="A104" s="14"/>
      <c r="B104" s="20"/>
      <c r="C104" s="21"/>
      <c r="D104" s="21"/>
      <c r="E104" s="21"/>
    </row>
    <row r="105" spans="1:5" x14ac:dyDescent="0.25">
      <c r="A105" s="14"/>
      <c r="B105" s="20"/>
      <c r="C105" s="21"/>
      <c r="D105" s="21"/>
      <c r="E105" s="21"/>
    </row>
    <row r="106" spans="1:5" x14ac:dyDescent="0.25">
      <c r="A106" s="14"/>
      <c r="B106" s="20"/>
      <c r="C106" s="21"/>
      <c r="D106" s="21"/>
      <c r="E106" s="21"/>
    </row>
    <row r="107" spans="1:5" x14ac:dyDescent="0.25">
      <c r="A107" s="14"/>
      <c r="B107" s="20"/>
      <c r="C107" s="21"/>
      <c r="D107" s="21"/>
      <c r="E107" s="21"/>
    </row>
    <row r="108" spans="1:5" x14ac:dyDescent="0.25">
      <c r="A108" s="14"/>
      <c r="B108" s="20"/>
      <c r="C108" s="21"/>
      <c r="D108" s="21"/>
      <c r="E108" s="21"/>
    </row>
    <row r="109" spans="1:5" x14ac:dyDescent="0.25">
      <c r="A109" s="14"/>
      <c r="B109" s="20"/>
      <c r="C109" s="21"/>
      <c r="D109" s="21"/>
      <c r="E109" s="21"/>
    </row>
    <row r="110" spans="1:5" x14ac:dyDescent="0.25">
      <c r="A110" s="14"/>
      <c r="B110" s="20"/>
      <c r="C110" s="21"/>
      <c r="D110" s="21"/>
      <c r="E110" s="21"/>
    </row>
    <row r="111" spans="1:5" x14ac:dyDescent="0.25">
      <c r="A111" s="14"/>
      <c r="B111" s="20"/>
      <c r="C111" s="21"/>
      <c r="D111" s="21"/>
      <c r="E111" s="21"/>
    </row>
    <row r="112" spans="1:5" x14ac:dyDescent="0.25">
      <c r="A112" s="14"/>
      <c r="B112" s="20"/>
      <c r="C112" s="21"/>
      <c r="D112" s="21"/>
      <c r="E112" s="21"/>
    </row>
    <row r="113" spans="1:5" x14ac:dyDescent="0.25">
      <c r="A113" s="14"/>
      <c r="B113" s="20"/>
      <c r="C113" s="21"/>
      <c r="D113" s="21"/>
      <c r="E113" s="21"/>
    </row>
    <row r="114" spans="1:5" x14ac:dyDescent="0.25">
      <c r="A114" s="14"/>
      <c r="B114" s="20"/>
      <c r="C114" s="21"/>
      <c r="D114" s="21"/>
      <c r="E114" s="21"/>
    </row>
    <row r="115" spans="1:5" x14ac:dyDescent="0.25">
      <c r="A115" s="14"/>
      <c r="B115" s="20"/>
      <c r="C115" s="21"/>
      <c r="D115" s="21"/>
      <c r="E115" s="21"/>
    </row>
    <row r="116" spans="1:5" x14ac:dyDescent="0.25">
      <c r="A116" s="14"/>
      <c r="B116" s="20"/>
      <c r="C116" s="21"/>
      <c r="D116" s="21"/>
      <c r="E116" s="21"/>
    </row>
    <row r="117" spans="1:5" x14ac:dyDescent="0.25">
      <c r="A117" s="14"/>
      <c r="B117" s="20"/>
      <c r="C117" s="21"/>
      <c r="D117" s="21"/>
      <c r="E117" s="21"/>
    </row>
    <row r="118" spans="1:5" x14ac:dyDescent="0.25">
      <c r="A118" s="14"/>
      <c r="B118" s="20"/>
      <c r="C118" s="21"/>
      <c r="D118" s="21"/>
      <c r="E118" s="21"/>
    </row>
    <row r="119" spans="1:5" x14ac:dyDescent="0.25">
      <c r="A119" s="14"/>
      <c r="B119" s="20"/>
      <c r="C119" s="21"/>
      <c r="D119" s="21"/>
      <c r="E119" s="21"/>
    </row>
    <row r="120" spans="1:5" x14ac:dyDescent="0.25">
      <c r="A120" s="14"/>
      <c r="B120" s="20"/>
      <c r="C120" s="21"/>
      <c r="D120" s="21"/>
      <c r="E120" s="21"/>
    </row>
    <row r="121" spans="1:5" x14ac:dyDescent="0.25">
      <c r="A121" s="14"/>
      <c r="B121" s="20"/>
      <c r="C121" s="21"/>
      <c r="D121" s="21"/>
      <c r="E121" s="21"/>
    </row>
    <row r="122" spans="1:5" x14ac:dyDescent="0.25">
      <c r="A122" s="14"/>
      <c r="B122" s="20"/>
      <c r="C122" s="21"/>
      <c r="D122" s="21"/>
      <c r="E122" s="21"/>
    </row>
    <row r="123" spans="1:5" x14ac:dyDescent="0.25">
      <c r="A123" s="14"/>
      <c r="B123" s="20"/>
      <c r="C123" s="21"/>
      <c r="D123" s="21"/>
      <c r="E123" s="21"/>
    </row>
    <row r="124" spans="1:5" x14ac:dyDescent="0.25">
      <c r="A124" s="14"/>
      <c r="B124" s="20"/>
      <c r="C124" s="21"/>
      <c r="D124" s="21"/>
      <c r="E124" s="21"/>
    </row>
    <row r="125" spans="1:5" x14ac:dyDescent="0.25">
      <c r="A125" s="14"/>
      <c r="B125" s="20"/>
      <c r="C125" s="21"/>
      <c r="D125" s="21"/>
      <c r="E125" s="21"/>
    </row>
    <row r="126" spans="1:5" x14ac:dyDescent="0.25">
      <c r="A126" s="14"/>
      <c r="B126" s="20"/>
      <c r="C126" s="21"/>
      <c r="D126" s="21"/>
      <c r="E126" s="21"/>
    </row>
    <row r="127" spans="1:5" x14ac:dyDescent="0.25">
      <c r="A127" s="14"/>
      <c r="B127" s="20"/>
      <c r="C127" s="21"/>
      <c r="D127" s="21"/>
      <c r="E127" s="21"/>
    </row>
    <row r="128" spans="1:5" x14ac:dyDescent="0.25">
      <c r="A128" s="14"/>
      <c r="B128" s="20"/>
      <c r="C128" s="21"/>
      <c r="D128" s="21"/>
      <c r="E128" s="21"/>
    </row>
    <row r="129" spans="1:5" x14ac:dyDescent="0.25">
      <c r="A129" s="14"/>
      <c r="B129" s="20"/>
      <c r="C129" s="21"/>
      <c r="D129" s="21"/>
      <c r="E129" s="21"/>
    </row>
    <row r="130" spans="1:5" x14ac:dyDescent="0.25">
      <c r="A130" s="14"/>
      <c r="B130" s="20"/>
      <c r="C130" s="21"/>
      <c r="D130" s="21"/>
      <c r="E130" s="21"/>
    </row>
    <row r="131" spans="1:5" x14ac:dyDescent="0.25">
      <c r="A131" s="14"/>
      <c r="B131" s="20"/>
      <c r="C131" s="21"/>
      <c r="D131" s="21"/>
      <c r="E131" s="21"/>
    </row>
    <row r="132" spans="1:5" x14ac:dyDescent="0.25">
      <c r="A132" s="14"/>
      <c r="B132" s="20"/>
      <c r="C132" s="21"/>
      <c r="D132" s="21"/>
      <c r="E132" s="21"/>
    </row>
    <row r="133" spans="1:5" x14ac:dyDescent="0.25">
      <c r="A133" s="14"/>
      <c r="B133" s="20"/>
      <c r="C133" s="21"/>
      <c r="D133" s="21"/>
      <c r="E133" s="21"/>
    </row>
    <row r="134" spans="1:5" x14ac:dyDescent="0.25">
      <c r="A134" s="14"/>
      <c r="B134" s="20"/>
      <c r="C134" s="21"/>
      <c r="D134" s="21"/>
      <c r="E134" s="21"/>
    </row>
    <row r="135" spans="1:5" x14ac:dyDescent="0.25">
      <c r="A135" s="14"/>
      <c r="B135" s="20"/>
      <c r="C135" s="21"/>
      <c r="D135" s="21"/>
      <c r="E135" s="21"/>
    </row>
    <row r="136" spans="1:5" x14ac:dyDescent="0.25">
      <c r="A136" s="14"/>
      <c r="B136" s="20"/>
      <c r="C136" s="21"/>
      <c r="D136" s="21"/>
      <c r="E136" s="21"/>
    </row>
    <row r="137" spans="1:5" x14ac:dyDescent="0.25">
      <c r="A137" s="14"/>
      <c r="B137" s="20"/>
      <c r="C137" s="21"/>
      <c r="D137" s="21"/>
      <c r="E137" s="21"/>
    </row>
    <row r="138" spans="1:5" x14ac:dyDescent="0.25">
      <c r="A138" s="14"/>
      <c r="B138" s="20"/>
      <c r="C138" s="21"/>
      <c r="D138" s="21"/>
      <c r="E138" s="21"/>
    </row>
    <row r="139" spans="1:5" x14ac:dyDescent="0.25">
      <c r="A139" s="14"/>
      <c r="B139" s="20"/>
      <c r="C139" s="21"/>
      <c r="D139" s="21"/>
      <c r="E139" s="21"/>
    </row>
    <row r="140" spans="1:5" x14ac:dyDescent="0.25">
      <c r="A140" s="14"/>
      <c r="B140" s="20"/>
      <c r="C140" s="21"/>
      <c r="D140" s="21"/>
      <c r="E140" s="21"/>
    </row>
    <row r="141" spans="1:5" x14ac:dyDescent="0.25">
      <c r="A141" s="14"/>
      <c r="B141" s="20"/>
      <c r="C141" s="21"/>
      <c r="D141" s="21"/>
      <c r="E141" s="21"/>
    </row>
    <row r="142" spans="1:5" x14ac:dyDescent="0.25">
      <c r="A142" s="14"/>
      <c r="B142" s="20"/>
      <c r="C142" s="21"/>
      <c r="D142" s="21"/>
      <c r="E142" s="21"/>
    </row>
    <row r="143" spans="1:5" x14ac:dyDescent="0.25">
      <c r="A143" s="14"/>
      <c r="B143" s="20"/>
      <c r="C143" s="21"/>
      <c r="D143" s="21"/>
      <c r="E143" s="21"/>
    </row>
    <row r="144" spans="1:5" x14ac:dyDescent="0.25">
      <c r="A144" s="14"/>
      <c r="B144" s="20"/>
      <c r="C144" s="21"/>
      <c r="D144" s="21"/>
      <c r="E144" s="21"/>
    </row>
    <row r="145" spans="1:5" x14ac:dyDescent="0.25">
      <c r="A145" s="14"/>
      <c r="B145" s="20"/>
      <c r="C145" s="21"/>
      <c r="D145" s="21"/>
      <c r="E145" s="21"/>
    </row>
    <row r="146" spans="1:5" x14ac:dyDescent="0.25">
      <c r="A146" s="14"/>
      <c r="B146" s="20"/>
      <c r="C146" s="21"/>
      <c r="D146" s="21"/>
      <c r="E146" s="21"/>
    </row>
    <row r="147" spans="1:5" x14ac:dyDescent="0.25">
      <c r="A147" s="14"/>
      <c r="B147" s="20"/>
      <c r="C147" s="21"/>
      <c r="D147" s="21"/>
      <c r="E147" s="21"/>
    </row>
    <row r="148" spans="1:5" x14ac:dyDescent="0.25">
      <c r="A148" s="14"/>
      <c r="B148" s="20"/>
      <c r="C148" s="21"/>
      <c r="D148" s="21"/>
      <c r="E148" s="21"/>
    </row>
    <row r="149" spans="1:5" x14ac:dyDescent="0.25">
      <c r="A149" s="14"/>
      <c r="B149" s="20"/>
      <c r="C149" s="21"/>
      <c r="D149" s="21"/>
      <c r="E149" s="21"/>
    </row>
    <row r="150" spans="1:5" x14ac:dyDescent="0.25">
      <c r="A150" s="14"/>
      <c r="B150" s="20"/>
      <c r="C150" s="21"/>
      <c r="D150" s="21"/>
      <c r="E150" s="21"/>
    </row>
    <row r="151" spans="1:5" x14ac:dyDescent="0.25">
      <c r="A151" s="14"/>
      <c r="B151" s="20"/>
      <c r="C151" s="21"/>
      <c r="D151" s="21"/>
      <c r="E151" s="21"/>
    </row>
    <row r="152" spans="1:5" x14ac:dyDescent="0.25">
      <c r="A152" s="14"/>
      <c r="B152" s="20"/>
      <c r="C152" s="21"/>
      <c r="D152" s="21"/>
      <c r="E152" s="21"/>
    </row>
    <row r="153" spans="1:5" x14ac:dyDescent="0.25">
      <c r="A153" s="14"/>
      <c r="B153" s="20"/>
      <c r="C153" s="21"/>
      <c r="D153" s="21"/>
      <c r="E153" s="21"/>
    </row>
    <row r="154" spans="1:5" x14ac:dyDescent="0.25">
      <c r="A154" s="14"/>
      <c r="B154" s="20"/>
      <c r="C154" s="21"/>
      <c r="D154" s="21"/>
      <c r="E154" s="21"/>
    </row>
    <row r="155" spans="1:5" x14ac:dyDescent="0.25">
      <c r="A155" s="14"/>
      <c r="B155" s="20"/>
      <c r="C155" s="21"/>
      <c r="D155" s="21"/>
      <c r="E155" s="21"/>
    </row>
    <row r="156" spans="1:5" x14ac:dyDescent="0.25">
      <c r="A156" s="14"/>
      <c r="B156" s="20"/>
      <c r="C156" s="21"/>
      <c r="D156" s="21"/>
      <c r="E156" s="21"/>
    </row>
    <row r="157" spans="1:5" x14ac:dyDescent="0.25">
      <c r="A157" s="14"/>
      <c r="B157" s="20"/>
      <c r="C157" s="21"/>
      <c r="D157" s="21"/>
      <c r="E157" s="21"/>
    </row>
    <row r="158" spans="1:5" x14ac:dyDescent="0.25">
      <c r="A158" s="14"/>
      <c r="B158" s="20"/>
      <c r="C158" s="21"/>
      <c r="D158" s="21"/>
      <c r="E158" s="21"/>
    </row>
    <row r="159" spans="1:5" x14ac:dyDescent="0.25">
      <c r="A159" s="14"/>
      <c r="B159" s="20"/>
      <c r="C159" s="21"/>
      <c r="D159" s="21"/>
      <c r="E159" s="21"/>
    </row>
    <row r="160" spans="1:5" x14ac:dyDescent="0.25">
      <c r="A160" s="14"/>
      <c r="B160" s="20"/>
      <c r="C160" s="21"/>
      <c r="D160" s="21"/>
      <c r="E160" s="21"/>
    </row>
    <row r="161" spans="1:5" x14ac:dyDescent="0.25">
      <c r="A161" s="14"/>
      <c r="B161" s="20"/>
      <c r="C161" s="21"/>
      <c r="D161" s="21"/>
      <c r="E161" s="21"/>
    </row>
    <row r="162" spans="1:5" x14ac:dyDescent="0.25">
      <c r="A162" s="14"/>
      <c r="B162" s="20"/>
      <c r="C162" s="21"/>
      <c r="D162" s="21"/>
      <c r="E162" s="21"/>
    </row>
    <row r="163" spans="1:5" x14ac:dyDescent="0.25">
      <c r="A163" s="14"/>
      <c r="B163" s="20"/>
      <c r="C163" s="21"/>
      <c r="D163" s="21"/>
      <c r="E163" s="21"/>
    </row>
    <row r="164" spans="1:5" x14ac:dyDescent="0.25">
      <c r="A164" s="14"/>
      <c r="B164" s="20"/>
      <c r="C164" s="21"/>
      <c r="D164" s="21"/>
      <c r="E164" s="21"/>
    </row>
    <row r="165" spans="1:5" x14ac:dyDescent="0.25">
      <c r="A165" s="14"/>
      <c r="B165" s="20"/>
      <c r="C165" s="21"/>
      <c r="D165" s="21"/>
      <c r="E165" s="21"/>
    </row>
    <row r="166" spans="1:5" x14ac:dyDescent="0.25">
      <c r="A166" s="14"/>
      <c r="B166" s="20"/>
      <c r="C166" s="21"/>
      <c r="D166" s="21"/>
      <c r="E166" s="21"/>
    </row>
    <row r="167" spans="1:5" x14ac:dyDescent="0.25">
      <c r="A167" s="14"/>
      <c r="B167" s="20"/>
      <c r="C167" s="21"/>
      <c r="D167" s="21"/>
      <c r="E167" s="21"/>
    </row>
    <row r="168" spans="1:5" x14ac:dyDescent="0.25">
      <c r="A168" s="14"/>
      <c r="B168" s="20"/>
      <c r="C168" s="21"/>
      <c r="D168" s="21"/>
      <c r="E168" s="21"/>
    </row>
    <row r="169" spans="1:5" x14ac:dyDescent="0.25">
      <c r="A169" s="14"/>
      <c r="B169" s="20"/>
      <c r="C169" s="21"/>
      <c r="D169" s="21"/>
      <c r="E169" s="21"/>
    </row>
    <row r="170" spans="1:5" x14ac:dyDescent="0.25">
      <c r="A170" s="14"/>
      <c r="B170" s="20"/>
      <c r="C170" s="21"/>
      <c r="D170" s="21"/>
      <c r="E170" s="21"/>
    </row>
    <row r="171" spans="1:5" x14ac:dyDescent="0.25">
      <c r="A171" s="14"/>
      <c r="B171" s="20"/>
      <c r="C171" s="21"/>
      <c r="D171" s="21"/>
      <c r="E171" s="21"/>
    </row>
    <row r="172" spans="1:5" x14ac:dyDescent="0.25">
      <c r="A172" s="14"/>
      <c r="B172" s="20"/>
      <c r="C172" s="21"/>
      <c r="D172" s="21"/>
      <c r="E172" s="21"/>
    </row>
    <row r="173" spans="1:5" x14ac:dyDescent="0.25">
      <c r="A173" s="14"/>
      <c r="B173" s="20"/>
      <c r="C173" s="21"/>
      <c r="D173" s="21"/>
      <c r="E173" s="21"/>
    </row>
    <row r="174" spans="1:5" x14ac:dyDescent="0.25">
      <c r="A174" s="14"/>
      <c r="B174" s="20"/>
      <c r="C174" s="21"/>
      <c r="D174" s="21"/>
      <c r="E174" s="21"/>
    </row>
    <row r="175" spans="1:5" x14ac:dyDescent="0.25">
      <c r="A175" s="14"/>
      <c r="B175" s="20"/>
      <c r="C175" s="21"/>
      <c r="D175" s="21"/>
      <c r="E175" s="21"/>
    </row>
    <row r="176" spans="1:5" x14ac:dyDescent="0.25">
      <c r="A176" s="14"/>
      <c r="B176" s="20"/>
      <c r="C176" s="21"/>
      <c r="D176" s="21"/>
      <c r="E176" s="21"/>
    </row>
    <row r="177" spans="1:5" x14ac:dyDescent="0.25">
      <c r="A177" s="14"/>
      <c r="B177" s="20"/>
      <c r="C177" s="21"/>
      <c r="D177" s="21"/>
      <c r="E177" s="21"/>
    </row>
    <row r="178" spans="1:5" x14ac:dyDescent="0.25">
      <c r="A178" s="14"/>
      <c r="B178" s="20"/>
      <c r="C178" s="21"/>
      <c r="D178" s="21"/>
      <c r="E178" s="21"/>
    </row>
    <row r="179" spans="1:5" x14ac:dyDescent="0.25">
      <c r="A179" s="14"/>
      <c r="B179" s="20"/>
      <c r="C179" s="21"/>
      <c r="D179" s="21"/>
      <c r="E179" s="21"/>
    </row>
    <row r="180" spans="1:5" x14ac:dyDescent="0.25">
      <c r="A180" s="14"/>
      <c r="B180" s="20"/>
      <c r="C180" s="21"/>
      <c r="D180" s="21"/>
      <c r="E180" s="21"/>
    </row>
    <row r="181" spans="1:5" x14ac:dyDescent="0.25">
      <c r="A181" s="14"/>
      <c r="B181" s="20"/>
      <c r="C181" s="21"/>
      <c r="D181" s="21"/>
      <c r="E181" s="21"/>
    </row>
    <row r="182" spans="1:5" x14ac:dyDescent="0.25">
      <c r="A182" s="14"/>
      <c r="B182" s="20"/>
      <c r="C182" s="21"/>
      <c r="D182" s="21"/>
      <c r="E182" s="21"/>
    </row>
    <row r="183" spans="1:5" x14ac:dyDescent="0.25">
      <c r="A183" s="14"/>
      <c r="B183" s="20"/>
      <c r="C183" s="21"/>
      <c r="D183" s="21"/>
      <c r="E183" s="21"/>
    </row>
    <row r="184" spans="1:5" x14ac:dyDescent="0.25">
      <c r="A184" s="14"/>
      <c r="B184" s="20"/>
      <c r="C184" s="21"/>
      <c r="D184" s="21"/>
      <c r="E184" s="21"/>
    </row>
    <row r="185" spans="1:5" x14ac:dyDescent="0.25">
      <c r="A185" s="14"/>
      <c r="B185" s="20"/>
      <c r="C185" s="21"/>
      <c r="D185" s="21"/>
      <c r="E185" s="21"/>
    </row>
    <row r="186" spans="1:5" x14ac:dyDescent="0.25">
      <c r="A186" s="14"/>
      <c r="B186" s="20"/>
      <c r="C186" s="21"/>
      <c r="D186" s="21"/>
      <c r="E186" s="21"/>
    </row>
    <row r="187" spans="1:5" x14ac:dyDescent="0.25">
      <c r="A187" s="14"/>
      <c r="B187" s="20"/>
      <c r="C187" s="21"/>
      <c r="D187" s="21"/>
      <c r="E187" s="21"/>
    </row>
    <row r="188" spans="1:5" x14ac:dyDescent="0.25">
      <c r="A188" s="14"/>
      <c r="B188" s="20"/>
      <c r="C188" s="21"/>
      <c r="D188" s="21"/>
      <c r="E188" s="21"/>
    </row>
    <row r="189" spans="1:5" x14ac:dyDescent="0.25">
      <c r="A189" s="14"/>
      <c r="B189" s="20"/>
      <c r="C189" s="21"/>
      <c r="D189" s="21"/>
      <c r="E189" s="21"/>
    </row>
    <row r="190" spans="1:5" x14ac:dyDescent="0.25">
      <c r="A190" s="14"/>
      <c r="B190" s="20"/>
      <c r="C190" s="21"/>
      <c r="D190" s="21"/>
      <c r="E190" s="21"/>
    </row>
    <row r="191" spans="1:5" x14ac:dyDescent="0.25">
      <c r="A191" s="14"/>
      <c r="B191" s="20"/>
      <c r="C191" s="21"/>
      <c r="D191" s="21"/>
      <c r="E191" s="21"/>
    </row>
    <row r="192" spans="1:5" x14ac:dyDescent="0.25">
      <c r="A192" s="14"/>
      <c r="B192" s="20"/>
      <c r="C192" s="21"/>
      <c r="D192" s="21"/>
      <c r="E192" s="21"/>
    </row>
    <row r="193" spans="1:5" x14ac:dyDescent="0.25">
      <c r="A193" s="14"/>
      <c r="B193" s="20"/>
      <c r="C193" s="21"/>
      <c r="D193" s="21"/>
      <c r="E193" s="21"/>
    </row>
    <row r="194" spans="1:5" x14ac:dyDescent="0.25">
      <c r="A194" s="14"/>
      <c r="B194" s="20"/>
      <c r="C194" s="21"/>
      <c r="D194" s="21"/>
      <c r="E194" s="21"/>
    </row>
    <row r="195" spans="1:5" x14ac:dyDescent="0.25">
      <c r="A195" s="14"/>
      <c r="B195" s="20"/>
      <c r="C195" s="21"/>
      <c r="D195" s="21"/>
      <c r="E195" s="21"/>
    </row>
    <row r="196" spans="1:5" x14ac:dyDescent="0.25">
      <c r="A196" s="14"/>
      <c r="B196" s="20"/>
      <c r="C196" s="21"/>
      <c r="D196" s="21"/>
      <c r="E196" s="21"/>
    </row>
    <row r="197" spans="1:5" x14ac:dyDescent="0.25">
      <c r="A197" s="14"/>
      <c r="B197" s="20"/>
      <c r="C197" s="21"/>
      <c r="D197" s="21"/>
      <c r="E197" s="21"/>
    </row>
    <row r="198" spans="1:5" x14ac:dyDescent="0.25">
      <c r="A198" s="14"/>
      <c r="B198" s="20"/>
      <c r="C198" s="21"/>
      <c r="D198" s="21"/>
      <c r="E198" s="21"/>
    </row>
    <row r="199" spans="1:5" x14ac:dyDescent="0.25">
      <c r="A199" s="14"/>
      <c r="B199" s="20"/>
      <c r="C199" s="21"/>
      <c r="D199" s="21"/>
      <c r="E199" s="21"/>
    </row>
    <row r="200" spans="1:5" x14ac:dyDescent="0.25">
      <c r="A200" s="14"/>
      <c r="B200" s="20"/>
      <c r="C200" s="21"/>
      <c r="D200" s="21"/>
      <c r="E200" s="21"/>
    </row>
    <row r="201" spans="1:5" x14ac:dyDescent="0.25">
      <c r="A201" s="14"/>
      <c r="B201" s="20"/>
      <c r="C201" s="21"/>
      <c r="D201" s="21"/>
      <c r="E201" s="21"/>
    </row>
    <row r="202" spans="1:5" x14ac:dyDescent="0.25">
      <c r="A202" s="14"/>
      <c r="B202" s="20"/>
      <c r="C202" s="21"/>
      <c r="D202" s="21"/>
      <c r="E202" s="21"/>
    </row>
    <row r="203" spans="1:5" x14ac:dyDescent="0.25">
      <c r="A203" s="14"/>
      <c r="B203" s="20"/>
      <c r="C203" s="21"/>
      <c r="D203" s="21"/>
      <c r="E203" s="21"/>
    </row>
    <row r="204" spans="1:5" x14ac:dyDescent="0.25">
      <c r="A204" s="14"/>
      <c r="B204" s="20"/>
      <c r="C204" s="21"/>
      <c r="D204" s="21"/>
      <c r="E204" s="21"/>
    </row>
    <row r="205" spans="1:5" x14ac:dyDescent="0.25">
      <c r="A205" s="14"/>
      <c r="B205" s="20"/>
      <c r="C205" s="21"/>
      <c r="D205" s="21"/>
      <c r="E205" s="21"/>
    </row>
    <row r="206" spans="1:5" x14ac:dyDescent="0.25">
      <c r="A206" s="14"/>
      <c r="B206" s="20"/>
      <c r="C206" s="21"/>
      <c r="D206" s="21"/>
      <c r="E206" s="21"/>
    </row>
    <row r="207" spans="1:5" x14ac:dyDescent="0.25">
      <c r="A207" s="14"/>
      <c r="B207" s="20"/>
      <c r="C207" s="21"/>
      <c r="D207" s="21"/>
      <c r="E207" s="21"/>
    </row>
    <row r="208" spans="1:5" x14ac:dyDescent="0.25">
      <c r="A208" s="14"/>
      <c r="B208" s="20"/>
      <c r="C208" s="21"/>
      <c r="D208" s="21"/>
      <c r="E208" s="21"/>
    </row>
    <row r="209" spans="1:5" x14ac:dyDescent="0.25">
      <c r="A209" s="14"/>
      <c r="B209" s="20"/>
      <c r="C209" s="21"/>
      <c r="D209" s="21"/>
      <c r="E209" s="21"/>
    </row>
    <row r="210" spans="1:5" x14ac:dyDescent="0.25">
      <c r="A210" s="14"/>
      <c r="B210" s="20"/>
      <c r="C210" s="21"/>
      <c r="D210" s="21"/>
      <c r="E210" s="21"/>
    </row>
    <row r="211" spans="1:5" x14ac:dyDescent="0.25">
      <c r="A211" s="14"/>
      <c r="B211" s="20"/>
      <c r="C211" s="21"/>
      <c r="D211" s="21"/>
      <c r="E211" s="21"/>
    </row>
    <row r="212" spans="1:5" x14ac:dyDescent="0.25">
      <c r="A212" s="14"/>
      <c r="B212" s="20"/>
      <c r="C212" s="21"/>
      <c r="D212" s="21"/>
      <c r="E212" s="21"/>
    </row>
    <row r="213" spans="1:5" x14ac:dyDescent="0.25">
      <c r="A213" s="14"/>
      <c r="B213" s="20"/>
      <c r="C213" s="21"/>
      <c r="D213" s="21"/>
      <c r="E213" s="21"/>
    </row>
    <row r="214" spans="1:5" x14ac:dyDescent="0.25">
      <c r="A214" s="14"/>
      <c r="B214" s="20"/>
      <c r="C214" s="21"/>
      <c r="D214" s="21"/>
      <c r="E214" s="21"/>
    </row>
    <row r="215" spans="1:5" x14ac:dyDescent="0.25">
      <c r="A215" s="14"/>
      <c r="B215" s="20"/>
      <c r="C215" s="21"/>
      <c r="D215" s="21"/>
      <c r="E215" s="21"/>
    </row>
    <row r="216" spans="1:5" x14ac:dyDescent="0.25">
      <c r="A216" s="14"/>
      <c r="B216" s="20"/>
      <c r="C216" s="21"/>
      <c r="D216" s="21"/>
      <c r="E216" s="21"/>
    </row>
    <row r="217" spans="1:5" x14ac:dyDescent="0.25">
      <c r="A217" s="14"/>
      <c r="B217" s="20"/>
      <c r="C217" s="21"/>
      <c r="D217" s="21"/>
      <c r="E217" s="21"/>
    </row>
    <row r="218" spans="1:5" x14ac:dyDescent="0.25">
      <c r="A218" s="14"/>
      <c r="B218" s="20"/>
      <c r="C218" s="21"/>
      <c r="D218" s="21"/>
      <c r="E218" s="21"/>
    </row>
    <row r="219" spans="1:5" x14ac:dyDescent="0.25">
      <c r="A219" s="14"/>
      <c r="B219" s="20"/>
      <c r="C219" s="21"/>
      <c r="D219" s="21"/>
      <c r="E219" s="21"/>
    </row>
    <row r="220" spans="1:5" x14ac:dyDescent="0.25">
      <c r="A220" s="14"/>
      <c r="B220" s="20"/>
      <c r="C220" s="21"/>
      <c r="D220" s="21"/>
      <c r="E220" s="21"/>
    </row>
    <row r="221" spans="1:5" x14ac:dyDescent="0.25">
      <c r="A221" s="14"/>
      <c r="B221" s="20"/>
      <c r="C221" s="21"/>
      <c r="D221" s="21"/>
      <c r="E221" s="21"/>
    </row>
    <row r="222" spans="1:5" x14ac:dyDescent="0.25">
      <c r="A222" s="14"/>
      <c r="B222" s="20"/>
      <c r="C222" s="21"/>
      <c r="D222" s="21"/>
      <c r="E222" s="21"/>
    </row>
    <row r="223" spans="1:5" x14ac:dyDescent="0.25">
      <c r="A223" s="14"/>
      <c r="B223" s="20"/>
      <c r="C223" s="21"/>
      <c r="D223" s="21"/>
      <c r="E223" s="21"/>
    </row>
    <row r="224" spans="1:5" x14ac:dyDescent="0.25">
      <c r="A224" s="14"/>
      <c r="B224" s="20"/>
      <c r="C224" s="21"/>
      <c r="D224" s="21"/>
      <c r="E224" s="21"/>
    </row>
    <row r="225" spans="1:5" x14ac:dyDescent="0.25">
      <c r="A225" s="14"/>
      <c r="B225" s="20"/>
      <c r="C225" s="21"/>
      <c r="D225" s="21"/>
      <c r="E225" s="21"/>
    </row>
    <row r="226" spans="1:5" x14ac:dyDescent="0.25">
      <c r="A226" s="14"/>
      <c r="B226" s="20"/>
      <c r="C226" s="21"/>
      <c r="D226" s="21"/>
      <c r="E226" s="21"/>
    </row>
    <row r="227" spans="1:5" x14ac:dyDescent="0.25">
      <c r="A227" s="14"/>
      <c r="B227" s="20"/>
      <c r="C227" s="21"/>
      <c r="D227" s="21"/>
      <c r="E227" s="21"/>
    </row>
    <row r="228" spans="1:5" x14ac:dyDescent="0.25">
      <c r="A228" s="14"/>
      <c r="B228" s="20"/>
      <c r="C228" s="21"/>
      <c r="D228" s="21"/>
      <c r="E228" s="21"/>
    </row>
    <row r="229" spans="1:5" x14ac:dyDescent="0.25">
      <c r="A229" s="14"/>
      <c r="B229" s="20"/>
      <c r="C229" s="21"/>
      <c r="D229" s="21"/>
      <c r="E229" s="21"/>
    </row>
    <row r="230" spans="1:5" x14ac:dyDescent="0.25">
      <c r="A230" s="14"/>
      <c r="B230" s="20"/>
      <c r="C230" s="21"/>
      <c r="D230" s="21"/>
      <c r="E230" s="21"/>
    </row>
    <row r="231" spans="1:5" x14ac:dyDescent="0.25">
      <c r="A231" s="14"/>
      <c r="B231" s="20"/>
      <c r="C231" s="21"/>
      <c r="D231" s="21"/>
      <c r="E231" s="21"/>
    </row>
    <row r="232" spans="1:5" x14ac:dyDescent="0.25">
      <c r="A232" s="14"/>
      <c r="B232" s="20"/>
      <c r="C232" s="21"/>
      <c r="D232" s="21"/>
      <c r="E232" s="21"/>
    </row>
    <row r="233" spans="1:5" x14ac:dyDescent="0.25">
      <c r="A233" s="14"/>
      <c r="B233" s="20"/>
      <c r="C233" s="21"/>
      <c r="D233" s="21"/>
      <c r="E233" s="21"/>
    </row>
    <row r="234" spans="1:5" x14ac:dyDescent="0.25">
      <c r="A234" s="14"/>
      <c r="B234" s="20"/>
      <c r="C234" s="21"/>
      <c r="D234" s="21"/>
      <c r="E234" s="21"/>
    </row>
    <row r="235" spans="1:5" x14ac:dyDescent="0.25">
      <c r="A235" s="14"/>
      <c r="B235" s="20"/>
      <c r="C235" s="21"/>
      <c r="D235" s="21"/>
      <c r="E235" s="21"/>
    </row>
    <row r="236" spans="1:5" x14ac:dyDescent="0.25">
      <c r="A236" s="14"/>
      <c r="B236" s="20"/>
      <c r="C236" s="21"/>
      <c r="D236" s="21"/>
      <c r="E236" s="21"/>
    </row>
    <row r="237" spans="1:5" x14ac:dyDescent="0.25">
      <c r="A237" s="14"/>
      <c r="B237" s="20"/>
      <c r="C237" s="21"/>
      <c r="D237" s="21"/>
      <c r="E237" s="21"/>
    </row>
    <row r="238" spans="1:5" x14ac:dyDescent="0.25">
      <c r="A238" s="14"/>
      <c r="B238" s="20"/>
      <c r="C238" s="21"/>
      <c r="D238" s="21"/>
      <c r="E238" s="21"/>
    </row>
    <row r="239" spans="1:5" x14ac:dyDescent="0.25">
      <c r="A239" s="14"/>
      <c r="B239" s="20"/>
      <c r="C239" s="21"/>
      <c r="D239" s="21"/>
      <c r="E239" s="21"/>
    </row>
    <row r="240" spans="1:5" x14ac:dyDescent="0.25">
      <c r="A240" s="14"/>
      <c r="B240" s="20"/>
      <c r="C240" s="21"/>
      <c r="D240" s="21"/>
      <c r="E240" s="21"/>
    </row>
    <row r="241" spans="1:5" x14ac:dyDescent="0.25">
      <c r="A241" s="14"/>
      <c r="B241" s="20"/>
      <c r="C241" s="21"/>
      <c r="D241" s="21"/>
      <c r="E241" s="21"/>
    </row>
    <row r="242" spans="1:5" x14ac:dyDescent="0.25">
      <c r="A242" s="14"/>
      <c r="B242" s="20"/>
      <c r="C242" s="21"/>
      <c r="D242" s="21"/>
      <c r="E242" s="21"/>
    </row>
    <row r="243" spans="1:5" x14ac:dyDescent="0.25">
      <c r="A243" s="14"/>
      <c r="B243" s="20"/>
      <c r="C243" s="21"/>
      <c r="D243" s="21"/>
      <c r="E243" s="21"/>
    </row>
    <row r="244" spans="1:5" x14ac:dyDescent="0.25">
      <c r="A244" s="14"/>
      <c r="B244" s="20"/>
      <c r="C244" s="21"/>
      <c r="D244" s="21"/>
      <c r="E244" s="21"/>
    </row>
    <row r="245" spans="1:5" x14ac:dyDescent="0.25">
      <c r="A245" s="14"/>
      <c r="B245" s="20"/>
      <c r="C245" s="21"/>
      <c r="D245" s="21"/>
      <c r="E245" s="21"/>
    </row>
    <row r="246" spans="1:5" x14ac:dyDescent="0.25">
      <c r="A246" s="14"/>
      <c r="B246" s="20"/>
      <c r="C246" s="21"/>
      <c r="D246" s="21"/>
      <c r="E246" s="21"/>
    </row>
    <row r="247" spans="1:5" x14ac:dyDescent="0.25">
      <c r="A247" s="14"/>
      <c r="B247" s="20"/>
      <c r="C247" s="21"/>
      <c r="D247" s="21"/>
      <c r="E247" s="21"/>
    </row>
    <row r="248" spans="1:5" x14ac:dyDescent="0.25">
      <c r="A248" s="14"/>
      <c r="B248" s="20"/>
      <c r="C248" s="21"/>
      <c r="D248" s="21"/>
      <c r="E248" s="21"/>
    </row>
    <row r="249" spans="1:5" x14ac:dyDescent="0.25">
      <c r="A249" s="14"/>
      <c r="B249" s="20"/>
      <c r="C249" s="21"/>
      <c r="D249" s="21"/>
      <c r="E249" s="21"/>
    </row>
    <row r="250" spans="1:5" x14ac:dyDescent="0.25">
      <c r="A250" s="14"/>
      <c r="B250" s="20"/>
      <c r="C250" s="21"/>
      <c r="D250" s="21"/>
      <c r="E250" s="21"/>
    </row>
    <row r="251" spans="1:5" x14ac:dyDescent="0.25">
      <c r="A251" s="14"/>
      <c r="B251" s="20"/>
      <c r="C251" s="21"/>
      <c r="D251" s="21"/>
      <c r="E251" s="21"/>
    </row>
    <row r="252" spans="1:5" x14ac:dyDescent="0.25">
      <c r="A252" s="14"/>
      <c r="B252" s="20"/>
      <c r="C252" s="21"/>
      <c r="D252" s="21"/>
      <c r="E252" s="21"/>
    </row>
    <row r="253" spans="1:5" x14ac:dyDescent="0.25">
      <c r="A253" s="14"/>
      <c r="B253" s="20"/>
      <c r="C253" s="21"/>
      <c r="D253" s="21"/>
      <c r="E253" s="21"/>
    </row>
    <row r="254" spans="1:5" x14ac:dyDescent="0.25">
      <c r="A254" s="14"/>
      <c r="B254" s="20"/>
      <c r="C254" s="21"/>
      <c r="D254" s="21"/>
      <c r="E254" s="21"/>
    </row>
    <row r="255" spans="1:5" x14ac:dyDescent="0.25">
      <c r="A255" s="14"/>
      <c r="B255" s="20"/>
      <c r="C255" s="21"/>
      <c r="D255" s="21"/>
      <c r="E255" s="21"/>
    </row>
    <row r="256" spans="1:5" x14ac:dyDescent="0.25">
      <c r="A256" s="14"/>
      <c r="B256" s="20"/>
      <c r="C256" s="21"/>
      <c r="D256" s="21"/>
      <c r="E256" s="21"/>
    </row>
    <row r="257" spans="1:5" x14ac:dyDescent="0.25">
      <c r="A257" s="14"/>
      <c r="B257" s="20"/>
      <c r="C257" s="21"/>
      <c r="D257" s="21"/>
      <c r="E257" s="21"/>
    </row>
    <row r="258" spans="1:5" x14ac:dyDescent="0.25">
      <c r="A258" s="14"/>
      <c r="B258" s="20"/>
      <c r="C258" s="21"/>
      <c r="D258" s="21"/>
      <c r="E258" s="21"/>
    </row>
    <row r="259" spans="1:5" x14ac:dyDescent="0.25">
      <c r="A259" s="14"/>
      <c r="B259" s="20"/>
      <c r="C259" s="21"/>
      <c r="D259" s="21"/>
      <c r="E259" s="21"/>
    </row>
    <row r="260" spans="1:5" x14ac:dyDescent="0.25">
      <c r="A260" s="14"/>
      <c r="B260" s="20"/>
      <c r="C260" s="21"/>
      <c r="D260" s="21"/>
      <c r="E260" s="21"/>
    </row>
    <row r="261" spans="1:5" x14ac:dyDescent="0.25">
      <c r="A261" s="14"/>
      <c r="B261" s="20"/>
      <c r="C261" s="21"/>
      <c r="D261" s="21"/>
      <c r="E261" s="21"/>
    </row>
    <row r="262" spans="1:5" x14ac:dyDescent="0.25">
      <c r="A262" s="14"/>
      <c r="B262" s="20"/>
      <c r="C262" s="21"/>
      <c r="D262" s="21"/>
      <c r="E262" s="21"/>
    </row>
    <row r="263" spans="1:5" x14ac:dyDescent="0.25">
      <c r="A263" s="14"/>
      <c r="B263" s="20"/>
      <c r="C263" s="21"/>
      <c r="D263" s="21"/>
      <c r="E263" s="21"/>
    </row>
    <row r="264" spans="1:5" x14ac:dyDescent="0.25">
      <c r="A264" s="14"/>
      <c r="B264" s="20"/>
      <c r="C264" s="21"/>
      <c r="D264" s="21"/>
      <c r="E264" s="21"/>
    </row>
    <row r="265" spans="1:5" x14ac:dyDescent="0.25">
      <c r="A265" s="14"/>
      <c r="B265" s="20"/>
      <c r="C265" s="21"/>
      <c r="D265" s="21"/>
      <c r="E265" s="21"/>
    </row>
    <row r="266" spans="1:5" x14ac:dyDescent="0.25">
      <c r="A266" s="14"/>
      <c r="B266" s="20"/>
      <c r="C266" s="21"/>
      <c r="D266" s="21"/>
      <c r="E266" s="21"/>
    </row>
    <row r="267" spans="1:5" x14ac:dyDescent="0.25">
      <c r="A267" s="14"/>
      <c r="B267" s="20"/>
      <c r="C267" s="21"/>
      <c r="D267" s="21"/>
      <c r="E267" s="2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67"/>
  <sheetViews>
    <sheetView zoomScale="145" zoomScaleNormal="145" workbookViewId="0">
      <pane ySplit="1" topLeftCell="A2" activePane="bottomLeft" state="frozen"/>
      <selection pane="bottomLeft" activeCell="B21" sqref="B21"/>
    </sheetView>
  </sheetViews>
  <sheetFormatPr defaultRowHeight="15" x14ac:dyDescent="0.25"/>
  <cols>
    <col min="1" max="1" width="20" style="4" customWidth="1"/>
    <col min="2" max="2" width="19" style="13" customWidth="1"/>
    <col min="3" max="5" width="13.5703125" customWidth="1"/>
    <col min="6" max="6" width="18.85546875" customWidth="1"/>
    <col min="7" max="7" width="16.140625" customWidth="1"/>
    <col min="8" max="8" width="29.85546875" customWidth="1"/>
    <col min="9" max="9" width="11" customWidth="1"/>
    <col min="10" max="10" width="13.28515625" customWidth="1"/>
  </cols>
  <sheetData>
    <row r="1" spans="1:11" x14ac:dyDescent="0.25">
      <c r="A1" s="7" t="s">
        <v>44</v>
      </c>
      <c r="B1" s="11" t="s">
        <v>49</v>
      </c>
      <c r="C1" s="1" t="s">
        <v>38</v>
      </c>
      <c r="D1" s="1" t="s">
        <v>39</v>
      </c>
      <c r="E1" s="1" t="s">
        <v>40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/>
    </row>
    <row r="2" spans="1:11" x14ac:dyDescent="0.25">
      <c r="A2" s="8"/>
      <c r="B2" s="12"/>
      <c r="C2" s="2"/>
      <c r="D2" s="2"/>
      <c r="E2" s="2">
        <f>0.09*Table136[[#This Row],[Estimated Sell Price]]</f>
        <v>0</v>
      </c>
      <c r="F2" s="2"/>
      <c r="G2" s="2">
        <f>Table136[[#This Row],[Estimated Sell Price]]-Table136[[#This Row],[eBay Fee (9%)]]-Table136[[#This Row],[Parts]]-Table136[[#This Row],[Cost]]-Table136[[#This Row],[Postage]]</f>
        <v>0</v>
      </c>
      <c r="H2" s="9"/>
      <c r="I2" s="9"/>
      <c r="J2" s="9">
        <f>SUM(Table136[[#This Row],[Actual eBay Sell Price (inc fees)]]-Table136[[#This Row],[Parts]]-Table136[[#This Row],[Cost]]-Table136[[#This Row],[Postage]])</f>
        <v>0</v>
      </c>
    </row>
    <row r="3" spans="1:11" x14ac:dyDescent="0.25">
      <c r="A3" s="8"/>
      <c r="B3" s="12"/>
      <c r="C3" s="2"/>
      <c r="D3" s="2"/>
      <c r="E3" s="2">
        <f>0.09*Table136[[#This Row],[Estimated Sell Price]]</f>
        <v>0</v>
      </c>
      <c r="F3" s="2"/>
      <c r="G3" s="2">
        <f>Table136[[#This Row],[Estimated Sell Price]]-Table136[[#This Row],[eBay Fee (9%)]]-Table136[[#This Row],[Parts]]-Table136[[#This Row],[Cost]]-Table136[[#This Row],[Postage]]</f>
        <v>0</v>
      </c>
      <c r="H3" s="9"/>
      <c r="I3" s="9"/>
      <c r="J3" s="9">
        <f>SUM(Table136[[#This Row],[Actual eBay Sell Price (inc fees)]]-Table136[[#This Row],[Parts]]-Table136[[#This Row],[Cost]]-Table136[[#This Row],[Postage]])</f>
        <v>0</v>
      </c>
    </row>
    <row r="4" spans="1:11" x14ac:dyDescent="0.25">
      <c r="A4" s="8"/>
      <c r="B4" s="12"/>
      <c r="C4" s="2"/>
      <c r="D4" s="2"/>
      <c r="E4" s="2">
        <f>0.09*Table136[[#This Row],[Estimated Sell Price]]</f>
        <v>0</v>
      </c>
      <c r="F4" s="2"/>
      <c r="G4" s="2">
        <f>Table136[[#This Row],[Estimated Sell Price]]-Table136[[#This Row],[eBay Fee (9%)]]-Table136[[#This Row],[Parts]]-Table136[[#This Row],[Cost]]-Table136[[#This Row],[Postage]]</f>
        <v>0</v>
      </c>
      <c r="H4" s="9"/>
      <c r="I4" s="9"/>
      <c r="J4" s="9">
        <f>SUM(Table136[[#This Row],[Actual eBay Sell Price (inc fees)]]-Table136[[#This Row],[Parts]]-Table136[[#This Row],[Cost]]-Table136[[#This Row],[Postage]])</f>
        <v>0</v>
      </c>
    </row>
    <row r="5" spans="1:11" x14ac:dyDescent="0.25">
      <c r="A5" s="8"/>
      <c r="B5" s="12"/>
      <c r="C5" s="2"/>
      <c r="D5" s="2"/>
      <c r="E5" s="2">
        <f>0.09*Table136[[#This Row],[Estimated Sell Price]]</f>
        <v>0</v>
      </c>
      <c r="F5" s="2"/>
      <c r="G5" s="2">
        <f>Table136[[#This Row],[Estimated Sell Price]]-Table136[[#This Row],[eBay Fee (9%)]]-Table136[[#This Row],[Parts]]-Table136[[#This Row],[Cost]]-Table136[[#This Row],[Postage]]</f>
        <v>0</v>
      </c>
      <c r="H5" s="9"/>
      <c r="I5" s="9"/>
      <c r="J5" s="9">
        <f>SUM(Table136[[#This Row],[Actual eBay Sell Price (inc fees)]]-Table136[[#This Row],[Parts]]-Table136[[#This Row],[Cost]]-Table136[[#This Row],[Postage]])</f>
        <v>0</v>
      </c>
    </row>
    <row r="6" spans="1:11" x14ac:dyDescent="0.25">
      <c r="A6" s="8"/>
      <c r="B6" s="12"/>
      <c r="C6" s="2"/>
      <c r="D6" s="2"/>
      <c r="E6" s="2">
        <f>0.09*Table136[[#This Row],[Estimated Sell Price]]</f>
        <v>0</v>
      </c>
      <c r="F6" s="2"/>
      <c r="G6" s="2">
        <f>Table136[[#This Row],[Estimated Sell Price]]-Table136[[#This Row],[eBay Fee (9%)]]-Table136[[#This Row],[Parts]]-Table136[[#This Row],[Cost]]-Table136[[#This Row],[Postage]]</f>
        <v>0</v>
      </c>
      <c r="H6" s="9"/>
      <c r="I6" s="9"/>
      <c r="J6" s="9">
        <f>SUM(Table136[[#This Row],[Actual eBay Sell Price (inc fees)]]-Table136[[#This Row],[Parts]]-Table136[[#This Row],[Cost]]-Table136[[#This Row],[Postage]])</f>
        <v>0</v>
      </c>
    </row>
    <row r="7" spans="1:11" x14ac:dyDescent="0.25">
      <c r="A7" s="8"/>
      <c r="B7" s="12"/>
      <c r="C7" s="2"/>
      <c r="D7" s="2"/>
      <c r="E7" s="2">
        <f>0.09*Table136[[#This Row],[Estimated Sell Price]]</f>
        <v>0</v>
      </c>
      <c r="F7" s="2"/>
      <c r="G7" s="2">
        <f>Table136[[#This Row],[Estimated Sell Price]]-Table136[[#This Row],[eBay Fee (9%)]]-Table136[[#This Row],[Parts]]-Table136[[#This Row],[Cost]]-Table136[[#This Row],[Postage]]</f>
        <v>0</v>
      </c>
      <c r="H7" s="9"/>
      <c r="I7" s="9"/>
      <c r="J7" s="9">
        <f>SUM(Table136[[#This Row],[Actual eBay Sell Price (inc fees)]]-Table136[[#This Row],[Parts]]-Table136[[#This Row],[Cost]]-Table136[[#This Row],[Postage]])</f>
        <v>0</v>
      </c>
    </row>
    <row r="8" spans="1:11" x14ac:dyDescent="0.25">
      <c r="A8" s="8"/>
      <c r="B8" s="12"/>
      <c r="C8" s="2"/>
      <c r="D8" s="2"/>
      <c r="E8" s="2">
        <f>0.09*Table136[[#This Row],[Estimated Sell Price]]</f>
        <v>0</v>
      </c>
      <c r="F8" s="2"/>
      <c r="G8" s="2">
        <f>Table136[[#This Row],[Estimated Sell Price]]-Table136[[#This Row],[eBay Fee (9%)]]-Table136[[#This Row],[Parts]]-Table136[[#This Row],[Cost]]-Table136[[#This Row],[Postage]]</f>
        <v>0</v>
      </c>
      <c r="H8" s="9"/>
      <c r="I8" s="9"/>
      <c r="J8" s="9">
        <f>SUM(Table136[[#This Row],[Actual eBay Sell Price (inc fees)]]-Table136[[#This Row],[Parts]]-Table136[[#This Row],[Cost]]-Table136[[#This Row],[Postage]])</f>
        <v>0</v>
      </c>
    </row>
    <row r="9" spans="1:11" x14ac:dyDescent="0.25">
      <c r="A9" s="8"/>
      <c r="B9" s="12"/>
      <c r="C9" s="2"/>
      <c r="D9" s="2"/>
      <c r="E9" s="2">
        <f>0.09*Table136[[#This Row],[Estimated Sell Price]]</f>
        <v>0</v>
      </c>
      <c r="F9" s="2"/>
      <c r="G9" s="2">
        <f>Table136[[#This Row],[Estimated Sell Price]]-Table136[[#This Row],[eBay Fee (9%)]]-Table136[[#This Row],[Parts]]-Table136[[#This Row],[Cost]]-Table136[[#This Row],[Postage]]</f>
        <v>0</v>
      </c>
      <c r="H9" s="9"/>
      <c r="I9" s="9"/>
      <c r="J9" s="9">
        <f>SUM(Table136[[#This Row],[Actual eBay Sell Price (inc fees)]]-Table136[[#This Row],[Parts]]-Table136[[#This Row],[Cost]]-Table136[[#This Row],[Postage]])</f>
        <v>0</v>
      </c>
    </row>
    <row r="10" spans="1:11" x14ac:dyDescent="0.25">
      <c r="A10" s="8"/>
      <c r="B10" s="12"/>
      <c r="C10" s="2"/>
      <c r="D10" s="2"/>
      <c r="E10" s="2">
        <f>0.09*Table136[[#This Row],[Estimated Sell Price]]</f>
        <v>0</v>
      </c>
      <c r="F10" s="2"/>
      <c r="G10" s="2">
        <f>Table136[[#This Row],[Estimated Sell Price]]-Table136[[#This Row],[eBay Fee (9%)]]-Table136[[#This Row],[Parts]]-Table136[[#This Row],[Cost]]-Table136[[#This Row],[Postage]]</f>
        <v>0</v>
      </c>
      <c r="H10" s="9"/>
      <c r="I10" s="9"/>
      <c r="J10" s="9">
        <f>SUM(Table136[[#This Row],[Actual eBay Sell Price (inc fees)]]-Table136[[#This Row],[Parts]]-Table136[[#This Row],[Cost]]-Table136[[#This Row],[Postage]])</f>
        <v>0</v>
      </c>
    </row>
    <row r="11" spans="1:11" x14ac:dyDescent="0.25">
      <c r="A11" s="8"/>
      <c r="B11" s="12"/>
      <c r="C11" s="2"/>
      <c r="D11" s="2"/>
      <c r="E11" s="2">
        <f>0.09*Table136[[#This Row],[Estimated Sell Price]]</f>
        <v>0</v>
      </c>
      <c r="F11" s="2"/>
      <c r="G11" s="2">
        <f>Table136[[#This Row],[Estimated Sell Price]]-Table136[[#This Row],[eBay Fee (9%)]]-Table136[[#This Row],[Parts]]-Table136[[#This Row],[Cost]]-Table136[[#This Row],[Postage]]</f>
        <v>0</v>
      </c>
      <c r="H11" s="9"/>
      <c r="I11" s="9"/>
      <c r="J11" s="9">
        <f>SUM(Table136[[#This Row],[Actual eBay Sell Price (inc fees)]]-Table136[[#This Row],[Parts]]-Table136[[#This Row],[Cost]]-Table136[[#This Row],[Postage]])</f>
        <v>0</v>
      </c>
    </row>
    <row r="12" spans="1:11" x14ac:dyDescent="0.25">
      <c r="A12" s="8"/>
      <c r="B12" s="12"/>
      <c r="C12" s="2"/>
      <c r="D12" s="2"/>
      <c r="E12" s="2">
        <f>0.09*Table136[[#This Row],[Estimated Sell Price]]</f>
        <v>0</v>
      </c>
      <c r="F12" s="2"/>
      <c r="G12" s="2">
        <f>Table136[[#This Row],[Estimated Sell Price]]-Table136[[#This Row],[eBay Fee (9%)]]-Table136[[#This Row],[Parts]]-Table136[[#This Row],[Cost]]-Table136[[#This Row],[Postage]]</f>
        <v>0</v>
      </c>
      <c r="H12" s="9"/>
      <c r="I12" s="9"/>
      <c r="J12" s="9">
        <f>SUM(Table136[[#This Row],[Actual eBay Sell Price (inc fees)]]-Table136[[#This Row],[Parts]]-Table136[[#This Row],[Cost]]-Table136[[#This Row],[Postage]])</f>
        <v>0</v>
      </c>
    </row>
    <row r="13" spans="1:11" x14ac:dyDescent="0.25">
      <c r="A13" s="8"/>
      <c r="B13" s="12"/>
      <c r="C13" s="2"/>
      <c r="D13" s="2"/>
      <c r="E13" s="2">
        <f>0.09*Table136[[#This Row],[Estimated Sell Price]]</f>
        <v>0</v>
      </c>
      <c r="F13" s="2"/>
      <c r="G13" s="2">
        <f>Table136[[#This Row],[Estimated Sell Price]]-Table136[[#This Row],[eBay Fee (9%)]]-Table136[[#This Row],[Parts]]-Table136[[#This Row],[Cost]]-Table136[[#This Row],[Postage]]</f>
        <v>0</v>
      </c>
      <c r="H13" s="9"/>
      <c r="I13" s="9"/>
      <c r="J13" s="9">
        <f>SUM(Table136[[#This Row],[Actual eBay Sell Price (inc fees)]]-Table136[[#This Row],[Parts]]-Table136[[#This Row],[Cost]]-Table136[[#This Row],[Postage]])</f>
        <v>0</v>
      </c>
    </row>
    <row r="14" spans="1:11" x14ac:dyDescent="0.25">
      <c r="A14" s="8"/>
      <c r="B14" s="12"/>
      <c r="C14" s="2"/>
      <c r="D14" s="2"/>
      <c r="E14" s="2">
        <f>0.09*Table136[[#This Row],[Estimated Sell Price]]</f>
        <v>0</v>
      </c>
      <c r="F14" s="2"/>
      <c r="G14" s="2">
        <f>Table136[[#This Row],[Estimated Sell Price]]-Table136[[#This Row],[eBay Fee (9%)]]-Table136[[#This Row],[Parts]]-Table136[[#This Row],[Cost]]-Table136[[#This Row],[Postage]]</f>
        <v>0</v>
      </c>
      <c r="H14" s="9"/>
      <c r="I14" s="9"/>
      <c r="J14" s="9">
        <f>SUM(Table136[[#This Row],[Actual eBay Sell Price (inc fees)]]-Table136[[#This Row],[Parts]]-Table136[[#This Row],[Cost]]-Table136[[#This Row],[Postage]])</f>
        <v>0</v>
      </c>
    </row>
    <row r="15" spans="1:11" x14ac:dyDescent="0.25">
      <c r="A15" s="8"/>
      <c r="B15" s="12"/>
      <c r="C15" s="2"/>
      <c r="D15" s="2"/>
      <c r="E15" s="2">
        <f>0.09*Table136[[#This Row],[Estimated Sell Price]]</f>
        <v>0</v>
      </c>
      <c r="F15" s="2"/>
      <c r="G15" s="2">
        <f>Table136[[#This Row],[Estimated Sell Price]]-Table136[[#This Row],[eBay Fee (9%)]]-Table136[[#This Row],[Parts]]-Table136[[#This Row],[Cost]]-Table136[[#This Row],[Postage]]</f>
        <v>0</v>
      </c>
      <c r="H15" s="9"/>
      <c r="I15" s="9"/>
      <c r="J15" s="9">
        <f>SUM(Table136[[#This Row],[Actual eBay Sell Price (inc fees)]]-Table136[[#This Row],[Parts]]-Table136[[#This Row],[Cost]]-Table136[[#This Row],[Postage]])</f>
        <v>0</v>
      </c>
    </row>
    <row r="16" spans="1:11" x14ac:dyDescent="0.25">
      <c r="A16" s="8"/>
      <c r="B16" s="12"/>
      <c r="C16" s="2"/>
      <c r="D16" s="2"/>
      <c r="E16" s="2">
        <f>0.09*Table136[[#This Row],[Estimated Sell Price]]</f>
        <v>0</v>
      </c>
      <c r="F16" s="2"/>
      <c r="G16" s="2">
        <f>Table136[[#This Row],[Estimated Sell Price]]-Table136[[#This Row],[eBay Fee (9%)]]-Table136[[#This Row],[Parts]]-Table136[[#This Row],[Cost]]-Table136[[#This Row],[Postage]]</f>
        <v>0</v>
      </c>
      <c r="H16" s="9"/>
      <c r="I16" s="9"/>
      <c r="J16" s="9">
        <f>SUM(Table136[[#This Row],[Actual eBay Sell Price (inc fees)]]-Table136[[#This Row],[Parts]]-Table136[[#This Row],[Cost]]-Table136[[#This Row],[Postage]])</f>
        <v>0</v>
      </c>
    </row>
    <row r="17" spans="1:10" x14ac:dyDescent="0.25">
      <c r="A17" s="8"/>
      <c r="B17" s="12"/>
      <c r="C17" s="2"/>
      <c r="D17" s="2"/>
      <c r="E17" s="2">
        <f>0.09*Table136[[#This Row],[Estimated Sell Price]]</f>
        <v>0</v>
      </c>
      <c r="F17" s="2"/>
      <c r="G17" s="2">
        <f>Table136[[#This Row],[Estimated Sell Price]]-Table136[[#This Row],[eBay Fee (9%)]]-Table136[[#This Row],[Parts]]-Table136[[#This Row],[Cost]]-Table136[[#This Row],[Postage]]</f>
        <v>0</v>
      </c>
      <c r="H17" s="9"/>
      <c r="I17" s="9"/>
      <c r="J17" s="9">
        <f>SUM(Table136[[#This Row],[Actual eBay Sell Price (inc fees)]]-Table136[[#This Row],[Parts]]-Table136[[#This Row],[Cost]]-Table136[[#This Row],[Postage]])</f>
        <v>0</v>
      </c>
    </row>
    <row r="18" spans="1:10" x14ac:dyDescent="0.25">
      <c r="A18" s="8"/>
      <c r="B18" s="12"/>
      <c r="C18" s="2"/>
      <c r="D18" s="2"/>
      <c r="E18" s="2">
        <f>0.09*Table136[[#This Row],[Estimated Sell Price]]</f>
        <v>0</v>
      </c>
      <c r="F18" s="2"/>
      <c r="G18" s="2">
        <f>Table136[[#This Row],[Estimated Sell Price]]-Table136[[#This Row],[eBay Fee (9%)]]-Table136[[#This Row],[Parts]]-Table136[[#This Row],[Cost]]-Table136[[#This Row],[Postage]]</f>
        <v>0</v>
      </c>
      <c r="H18" s="9"/>
      <c r="I18" s="9"/>
      <c r="J18" s="9">
        <f>SUM(Table136[[#This Row],[Actual eBay Sell Price (inc fees)]]-Table136[[#This Row],[Parts]]-Table136[[#This Row],[Cost]]-Table136[[#This Row],[Postage]])</f>
        <v>0</v>
      </c>
    </row>
    <row r="19" spans="1:10" x14ac:dyDescent="0.25">
      <c r="A19" s="8"/>
      <c r="B19" s="12"/>
      <c r="C19" s="2"/>
      <c r="D19" s="2"/>
      <c r="E19" s="2">
        <f>0.09*Table136[[#This Row],[Estimated Sell Price]]</f>
        <v>0</v>
      </c>
      <c r="F19" s="2"/>
      <c r="G19" s="2">
        <f>Table136[[#This Row],[Estimated Sell Price]]-Table136[[#This Row],[eBay Fee (9%)]]-Table136[[#This Row],[Parts]]-Table136[[#This Row],[Cost]]-Table136[[#This Row],[Postage]]</f>
        <v>0</v>
      </c>
      <c r="H19" s="9"/>
      <c r="I19" s="9"/>
      <c r="J19" s="9">
        <f>SUM(Table136[[#This Row],[Actual eBay Sell Price (inc fees)]]-Table136[[#This Row],[Parts]]-Table136[[#This Row],[Cost]]-Table136[[#This Row],[Postage]])</f>
        <v>0</v>
      </c>
    </row>
    <row r="20" spans="1:10" x14ac:dyDescent="0.25">
      <c r="A20" s="8"/>
      <c r="B20" s="12"/>
      <c r="C20" s="2"/>
      <c r="D20" s="2"/>
      <c r="E20" s="2">
        <f>0.09*Table136[[#This Row],[Estimated Sell Price]]</f>
        <v>0</v>
      </c>
      <c r="F20" s="2"/>
      <c r="G20" s="2">
        <f>Table136[[#This Row],[Estimated Sell Price]]-Table136[[#This Row],[eBay Fee (9%)]]-Table136[[#This Row],[Parts]]-Table136[[#This Row],[Cost]]-Table136[[#This Row],[Postage]]</f>
        <v>0</v>
      </c>
      <c r="H20" s="9"/>
      <c r="I20" s="9"/>
      <c r="J20" s="9">
        <f>SUM(Table136[[#This Row],[Actual eBay Sell Price (inc fees)]]-Table136[[#This Row],[Parts]]-Table136[[#This Row],[Cost]]-Table136[[#This Row],[Postage]])</f>
        <v>0</v>
      </c>
    </row>
    <row r="21" spans="1:10" x14ac:dyDescent="0.25">
      <c r="A21" s="14"/>
      <c r="B21" s="12"/>
      <c r="C21" s="2"/>
      <c r="D21" s="2"/>
      <c r="E21" s="2">
        <f>0.09*Table136[[#This Row],[Estimated Sell Price]]</f>
        <v>0</v>
      </c>
      <c r="F21" s="2"/>
      <c r="G21" s="2">
        <f>Table136[[#This Row],[Estimated Sell Price]]-Table136[[#This Row],[eBay Fee (9%)]]-Table136[[#This Row],[Parts]]-Table136[[#This Row],[Cost]]-Table136[[#This Row],[Postage]]</f>
        <v>0</v>
      </c>
      <c r="H21" s="9"/>
      <c r="I21" s="9"/>
      <c r="J21" s="9">
        <f>SUM(Table136[[#This Row],[Actual eBay Sell Price (inc fees)]]-Table136[[#This Row],[Parts]]-Table136[[#This Row],[Cost]]-Table136[[#This Row],[Postage]])</f>
        <v>0</v>
      </c>
    </row>
    <row r="22" spans="1:10" x14ac:dyDescent="0.25">
      <c r="A22" s="14"/>
      <c r="B22" s="12"/>
      <c r="C22" s="2"/>
      <c r="D22" s="2"/>
      <c r="E22" s="2">
        <f>0.09*Table136[[#This Row],[Estimated Sell Price]]</f>
        <v>0</v>
      </c>
      <c r="F22" s="2"/>
      <c r="G22" s="2">
        <f>Table136[[#This Row],[Estimated Sell Price]]-Table136[[#This Row],[eBay Fee (9%)]]-Table136[[#This Row],[Parts]]-Table136[[#This Row],[Cost]]-Table136[[#This Row],[Postage]]</f>
        <v>0</v>
      </c>
      <c r="H22" s="9"/>
      <c r="I22" s="9"/>
      <c r="J22" s="9">
        <f>SUM(Table136[[#This Row],[Actual eBay Sell Price (inc fees)]]-Table136[[#This Row],[Parts]]-Table136[[#This Row],[Cost]]-Table136[[#This Row],[Postage]])</f>
        <v>0</v>
      </c>
    </row>
    <row r="23" spans="1:10" x14ac:dyDescent="0.25">
      <c r="A23" s="14"/>
      <c r="B23" s="12"/>
      <c r="C23" s="2"/>
      <c r="D23" s="2"/>
      <c r="E23" s="2">
        <f>0.09*Table136[[#This Row],[Estimated Sell Price]]</f>
        <v>0</v>
      </c>
      <c r="F23" s="2"/>
      <c r="G23" s="2">
        <f>Table136[[#This Row],[Estimated Sell Price]]-Table136[[#This Row],[eBay Fee (9%)]]-Table136[[#This Row],[Parts]]-Table136[[#This Row],[Cost]]-Table136[[#This Row],[Postage]]</f>
        <v>0</v>
      </c>
      <c r="H23" s="9"/>
      <c r="I23" s="9"/>
      <c r="J23" s="9">
        <f>SUM(Table136[[#This Row],[Actual eBay Sell Price (inc fees)]]-Table136[[#This Row],[Parts]]-Table136[[#This Row],[Cost]]-Table136[[#This Row],[Postage]])</f>
        <v>0</v>
      </c>
    </row>
    <row r="24" spans="1:10" x14ac:dyDescent="0.25">
      <c r="A24" s="14"/>
      <c r="B24" s="12"/>
      <c r="C24" s="2"/>
      <c r="D24" s="2"/>
      <c r="E24" s="2">
        <f>0.09*Table136[[#This Row],[Estimated Sell Price]]</f>
        <v>0</v>
      </c>
      <c r="F24" s="2"/>
      <c r="G24" s="2">
        <f>Table136[[#This Row],[Estimated Sell Price]]-Table136[[#This Row],[eBay Fee (9%)]]-Table136[[#This Row],[Parts]]-Table136[[#This Row],[Cost]]-Table136[[#This Row],[Postage]]</f>
        <v>0</v>
      </c>
      <c r="H24" s="9"/>
      <c r="I24" s="9"/>
      <c r="J24" s="9">
        <f>SUM(Table136[[#This Row],[Actual eBay Sell Price (inc fees)]]-Table136[[#This Row],[Parts]]-Table136[[#This Row],[Cost]]-Table136[[#This Row],[Postage]])</f>
        <v>0</v>
      </c>
    </row>
    <row r="25" spans="1:10" x14ac:dyDescent="0.25">
      <c r="A25" s="8"/>
      <c r="B25" s="12"/>
      <c r="C25" s="2"/>
      <c r="D25" s="2"/>
      <c r="E25" s="2">
        <f>0.09*Table136[[#This Row],[Estimated Sell Price]]</f>
        <v>0</v>
      </c>
      <c r="F25" s="2"/>
      <c r="G25" s="2">
        <f>Table136[[#This Row],[Estimated Sell Price]]-Table136[[#This Row],[eBay Fee (9%)]]-Table136[[#This Row],[Parts]]-Table136[[#This Row],[Cost]]-Table136[[#This Row],[Postage]]</f>
        <v>0</v>
      </c>
      <c r="H25" s="9"/>
      <c r="I25" s="9"/>
      <c r="J25" s="9">
        <f>SUM(Table136[[#This Row],[Actual eBay Sell Price (inc fees)]]-Table136[[#This Row],[Parts]]-Table136[[#This Row],[Cost]]-Table136[[#This Row],[Postage]])</f>
        <v>0</v>
      </c>
    </row>
    <row r="26" spans="1:10" x14ac:dyDescent="0.25">
      <c r="A26" s="8"/>
      <c r="B26" s="12"/>
      <c r="C26" s="2"/>
      <c r="D26" s="2"/>
      <c r="E26" s="2">
        <f>0.09*Table136[[#This Row],[Estimated Sell Price]]</f>
        <v>0</v>
      </c>
      <c r="F26" s="2"/>
      <c r="G26" s="2">
        <f>Table136[[#This Row],[Estimated Sell Price]]-Table136[[#This Row],[eBay Fee (9%)]]-Table136[[#This Row],[Parts]]-Table136[[#This Row],[Cost]]-Table136[[#This Row],[Postage]]</f>
        <v>0</v>
      </c>
      <c r="H26" s="9"/>
      <c r="I26" s="9"/>
      <c r="J26" s="9">
        <f>SUM(Table136[[#This Row],[Actual eBay Sell Price (inc fees)]]-Table136[[#This Row],[Parts]]-Table136[[#This Row],[Cost]]-Table136[[#This Row],[Postage]])</f>
        <v>0</v>
      </c>
    </row>
    <row r="27" spans="1:10" x14ac:dyDescent="0.25">
      <c r="A27" s="8"/>
      <c r="B27" s="12"/>
      <c r="C27" s="2"/>
      <c r="D27" s="2"/>
      <c r="E27" s="2">
        <f>0.09*Table136[[#This Row],[Estimated Sell Price]]</f>
        <v>0</v>
      </c>
      <c r="F27" s="2"/>
      <c r="G27" s="2">
        <f>Table136[[#This Row],[Estimated Sell Price]]-Table136[[#This Row],[eBay Fee (9%)]]-Table136[[#This Row],[Parts]]-Table136[[#This Row],[Cost]]-Table136[[#This Row],[Postage]]</f>
        <v>0</v>
      </c>
      <c r="H27" s="9"/>
      <c r="I27" s="9"/>
      <c r="J27" s="9">
        <f>SUM(Table136[[#This Row],[Actual eBay Sell Price (inc fees)]]-Table136[[#This Row],[Parts]]-Table136[[#This Row],[Cost]]-Table136[[#This Row],[Postage]])</f>
        <v>0</v>
      </c>
    </row>
    <row r="28" spans="1:10" x14ac:dyDescent="0.25">
      <c r="A28" s="8"/>
      <c r="B28" s="12"/>
      <c r="C28" s="2"/>
      <c r="D28" s="2"/>
      <c r="E28" s="2">
        <f>0.09*Table136[[#This Row],[Estimated Sell Price]]</f>
        <v>0</v>
      </c>
      <c r="F28" s="2"/>
      <c r="G28" s="2">
        <f>Table136[[#This Row],[Estimated Sell Price]]-Table136[[#This Row],[eBay Fee (9%)]]-Table136[[#This Row],[Parts]]-Table136[[#This Row],[Cost]]-Table136[[#This Row],[Postage]]</f>
        <v>0</v>
      </c>
      <c r="H28" s="9"/>
      <c r="I28" s="9"/>
      <c r="J28" s="9">
        <f>SUM(Table136[[#This Row],[Actual eBay Sell Price (inc fees)]]-Table136[[#This Row],[Parts]]-Table136[[#This Row],[Cost]]-Table136[[#This Row],[Postage]])</f>
        <v>0</v>
      </c>
    </row>
    <row r="29" spans="1:10" x14ac:dyDescent="0.25">
      <c r="A29" s="8"/>
      <c r="B29" s="12"/>
      <c r="C29" s="2"/>
      <c r="D29" s="2"/>
      <c r="E29" s="2">
        <f>0.09*Table136[[#This Row],[Estimated Sell Price]]</f>
        <v>0</v>
      </c>
      <c r="F29" s="2"/>
      <c r="G29" s="2">
        <f>Table136[[#This Row],[Estimated Sell Price]]-Table136[[#This Row],[eBay Fee (9%)]]-Table136[[#This Row],[Parts]]-Table136[[#This Row],[Cost]]-Table136[[#This Row],[Postage]]</f>
        <v>0</v>
      </c>
      <c r="H29" s="9"/>
      <c r="I29" s="9"/>
      <c r="J29" s="9">
        <f>SUM(Table136[[#This Row],[Actual eBay Sell Price (inc fees)]]-Table136[[#This Row],[Parts]]-Table136[[#This Row],[Cost]]-Table136[[#This Row],[Postage]])</f>
        <v>0</v>
      </c>
    </row>
    <row r="30" spans="1:10" x14ac:dyDescent="0.25">
      <c r="A30" s="8"/>
      <c r="B30" s="12"/>
      <c r="C30" s="2"/>
      <c r="D30" s="2"/>
      <c r="E30" s="2">
        <f>0.09*Table136[[#This Row],[Estimated Sell Price]]</f>
        <v>0</v>
      </c>
      <c r="F30" s="2"/>
      <c r="G30" s="2">
        <f>Table136[[#This Row],[Estimated Sell Price]]-Table136[[#This Row],[eBay Fee (9%)]]-Table136[[#This Row],[Parts]]-Table136[[#This Row],[Cost]]-Table136[[#This Row],[Postage]]</f>
        <v>0</v>
      </c>
      <c r="H30" s="9"/>
      <c r="I30" s="9"/>
      <c r="J30" s="9">
        <f>SUM(Table136[[#This Row],[Actual eBay Sell Price (inc fees)]]-Table136[[#This Row],[Parts]]-Table136[[#This Row],[Cost]]-Table136[[#This Row],[Postage]])</f>
        <v>0</v>
      </c>
    </row>
    <row r="31" spans="1:10" x14ac:dyDescent="0.25">
      <c r="A31" s="8"/>
      <c r="B31" s="12"/>
      <c r="C31" s="2"/>
      <c r="D31" s="2"/>
      <c r="E31" s="2">
        <f>0.09*Table136[[#This Row],[Estimated Sell Price]]</f>
        <v>0</v>
      </c>
      <c r="F31" s="2"/>
      <c r="G31" s="2">
        <f>Table136[[#This Row],[Estimated Sell Price]]-Table136[[#This Row],[eBay Fee (9%)]]-Table136[[#This Row],[Parts]]-Table136[[#This Row],[Cost]]-Table136[[#This Row],[Postage]]</f>
        <v>0</v>
      </c>
      <c r="H31" s="9"/>
      <c r="I31" s="9"/>
      <c r="J31" s="9">
        <f>SUM(Table136[[#This Row],[Actual eBay Sell Price (inc fees)]]-Table136[[#This Row],[Parts]]-Table136[[#This Row],[Cost]]-Table136[[#This Row],[Postage]])</f>
        <v>0</v>
      </c>
    </row>
    <row r="32" spans="1:10" x14ac:dyDescent="0.25">
      <c r="A32" s="8"/>
      <c r="B32" s="12"/>
      <c r="C32" s="2"/>
      <c r="D32" s="2"/>
      <c r="E32" s="2">
        <f>0.09*Table136[[#This Row],[Estimated Sell Price]]</f>
        <v>0</v>
      </c>
      <c r="F32" s="2"/>
      <c r="G32" s="2">
        <f>Table136[[#This Row],[Estimated Sell Price]]-Table136[[#This Row],[eBay Fee (9%)]]-Table136[[#This Row],[Parts]]-Table136[[#This Row],[Cost]]-Table136[[#This Row],[Postage]]</f>
        <v>0</v>
      </c>
      <c r="H32" s="9"/>
      <c r="I32" s="9"/>
      <c r="J32" s="9">
        <f>SUM(Table136[[#This Row],[Actual eBay Sell Price (inc fees)]]-Table136[[#This Row],[Parts]]-Table136[[#This Row],[Cost]]-Table136[[#This Row],[Postage]])</f>
        <v>0</v>
      </c>
    </row>
    <row r="33" spans="1:10" x14ac:dyDescent="0.25">
      <c r="A33" s="8"/>
      <c r="B33" s="12"/>
      <c r="C33" s="2"/>
      <c r="D33" s="2"/>
      <c r="E33" s="2">
        <f>0.09*Table136[[#This Row],[Estimated Sell Price]]</f>
        <v>0</v>
      </c>
      <c r="F33" s="2"/>
      <c r="G33" s="2">
        <f>Table136[[#This Row],[Estimated Sell Price]]-Table136[[#This Row],[eBay Fee (9%)]]-Table136[[#This Row],[Parts]]-Table136[[#This Row],[Cost]]-Table136[[#This Row],[Postage]]</f>
        <v>0</v>
      </c>
      <c r="H33" s="9"/>
      <c r="I33" s="9"/>
      <c r="J33" s="9">
        <f>SUM(Table136[[#This Row],[Actual eBay Sell Price (inc fees)]]-Table136[[#This Row],[Parts]]-Table136[[#This Row],[Cost]]-Table136[[#This Row],[Postage]])</f>
        <v>0</v>
      </c>
    </row>
    <row r="34" spans="1:10" x14ac:dyDescent="0.25">
      <c r="A34" s="8"/>
      <c r="B34" s="12"/>
      <c r="C34" s="2"/>
      <c r="D34" s="2"/>
      <c r="E34" s="2">
        <f>0.09*Table136[[#This Row],[Estimated Sell Price]]</f>
        <v>0</v>
      </c>
      <c r="F34" s="2"/>
      <c r="G34" s="2">
        <f>Table136[[#This Row],[Estimated Sell Price]]-Table136[[#This Row],[eBay Fee (9%)]]-Table136[[#This Row],[Parts]]-Table136[[#This Row],[Cost]]-Table136[[#This Row],[Postage]]</f>
        <v>0</v>
      </c>
      <c r="H34" s="9"/>
      <c r="I34" s="9"/>
      <c r="J34" s="9">
        <f>SUM(Table136[[#This Row],[Actual eBay Sell Price (inc fees)]]-Table136[[#This Row],[Parts]]-Table136[[#This Row],[Cost]]-Table136[[#This Row],[Postage]])</f>
        <v>0</v>
      </c>
    </row>
    <row r="35" spans="1:10" x14ac:dyDescent="0.25">
      <c r="A35" s="8"/>
      <c r="B35" s="12"/>
      <c r="C35" s="2"/>
      <c r="D35" s="2"/>
      <c r="E35" s="2">
        <f>0.09*Table136[[#This Row],[Estimated Sell Price]]</f>
        <v>0</v>
      </c>
      <c r="F35" s="2"/>
      <c r="G35" s="2">
        <f>Table136[[#This Row],[Estimated Sell Price]]-Table136[[#This Row],[eBay Fee (9%)]]-Table136[[#This Row],[Parts]]-Table136[[#This Row],[Cost]]-Table136[[#This Row],[Postage]]</f>
        <v>0</v>
      </c>
      <c r="H35" s="9"/>
      <c r="I35" s="9"/>
      <c r="J35" s="9">
        <f>SUM(Table136[[#This Row],[Actual eBay Sell Price (inc fees)]]-Table136[[#This Row],[Parts]]-Table136[[#This Row],[Cost]]-Table136[[#This Row],[Postage]])</f>
        <v>0</v>
      </c>
    </row>
    <row r="36" spans="1:10" x14ac:dyDescent="0.25">
      <c r="A36" s="8"/>
      <c r="B36" s="12"/>
      <c r="C36" s="2"/>
      <c r="D36" s="2"/>
      <c r="E36" s="2">
        <f>0.09*Table136[[#This Row],[Estimated Sell Price]]</f>
        <v>0</v>
      </c>
      <c r="F36" s="2"/>
      <c r="G36" s="2">
        <f>Table136[[#This Row],[Estimated Sell Price]]-Table136[[#This Row],[eBay Fee (9%)]]-Table136[[#This Row],[Parts]]-Table136[[#This Row],[Cost]]-Table136[[#This Row],[Postage]]</f>
        <v>0</v>
      </c>
      <c r="H36" s="9"/>
      <c r="I36" s="9"/>
      <c r="J36" s="9">
        <f>SUM(Table136[[#This Row],[Actual eBay Sell Price (inc fees)]]-Table136[[#This Row],[Parts]]-Table136[[#This Row],[Cost]]-Table136[[#This Row],[Postage]])</f>
        <v>0</v>
      </c>
    </row>
    <row r="37" spans="1:10" x14ac:dyDescent="0.25">
      <c r="A37" s="8"/>
      <c r="B37" s="12"/>
      <c r="C37" s="2"/>
      <c r="D37" s="2"/>
      <c r="E37" s="2">
        <f>0.09*Table136[[#This Row],[Estimated Sell Price]]</f>
        <v>0</v>
      </c>
      <c r="F37" s="2"/>
      <c r="G37" s="2">
        <f>Table136[[#This Row],[Estimated Sell Price]]-Table136[[#This Row],[eBay Fee (9%)]]-Table136[[#This Row],[Parts]]-Table136[[#This Row],[Cost]]-Table136[[#This Row],[Postage]]</f>
        <v>0</v>
      </c>
      <c r="H37" s="9"/>
      <c r="I37" s="9"/>
      <c r="J37" s="9">
        <f>SUM(Table136[[#This Row],[Actual eBay Sell Price (inc fees)]]-Table136[[#This Row],[Parts]]-Table136[[#This Row],[Cost]]-Table136[[#This Row],[Postage]])</f>
        <v>0</v>
      </c>
    </row>
    <row r="38" spans="1:10" x14ac:dyDescent="0.25">
      <c r="A38" s="8"/>
      <c r="B38" s="12"/>
      <c r="C38" s="2"/>
      <c r="D38" s="2"/>
      <c r="E38" s="2">
        <f>0.09*Table136[[#This Row],[Estimated Sell Price]]</f>
        <v>0</v>
      </c>
      <c r="F38" s="2"/>
      <c r="G38" s="2">
        <f>Table136[[#This Row],[Estimated Sell Price]]-Table136[[#This Row],[eBay Fee (9%)]]-Table136[[#This Row],[Parts]]-Table136[[#This Row],[Cost]]-Table136[[#This Row],[Postage]]</f>
        <v>0</v>
      </c>
      <c r="H38" s="9"/>
      <c r="I38" s="9"/>
      <c r="J38" s="9">
        <f>SUM(Table136[[#This Row],[Actual eBay Sell Price (inc fees)]]-Table136[[#This Row],[Parts]]-Table136[[#This Row],[Cost]]-Table136[[#This Row],[Postage]])</f>
        <v>0</v>
      </c>
    </row>
    <row r="39" spans="1:10" x14ac:dyDescent="0.25">
      <c r="A39" s="8"/>
      <c r="B39" s="12"/>
      <c r="C39" s="2"/>
      <c r="D39" s="2"/>
      <c r="E39" s="2">
        <f>0.09*Table136[[#This Row],[Estimated Sell Price]]</f>
        <v>0</v>
      </c>
      <c r="F39" s="2"/>
      <c r="G39" s="2">
        <f>Table136[[#This Row],[Estimated Sell Price]]-Table136[[#This Row],[eBay Fee (9%)]]-Table136[[#This Row],[Parts]]-Table136[[#This Row],[Cost]]-Table136[[#This Row],[Postage]]</f>
        <v>0</v>
      </c>
      <c r="H39" s="9"/>
      <c r="I39" s="9"/>
      <c r="J39" s="9">
        <f>SUM(Table136[[#This Row],[Actual eBay Sell Price (inc fees)]]-Table136[[#This Row],[Parts]]-Table136[[#This Row],[Cost]]-Table136[[#This Row],[Postage]])</f>
        <v>0</v>
      </c>
    </row>
    <row r="40" spans="1:10" x14ac:dyDescent="0.25">
      <c r="A40" s="8"/>
      <c r="B40" s="12"/>
      <c r="C40" s="2"/>
      <c r="D40" s="2"/>
      <c r="E40" s="2">
        <f>0.09*Table136[[#This Row],[Estimated Sell Price]]</f>
        <v>0</v>
      </c>
      <c r="F40" s="2"/>
      <c r="G40" s="2">
        <f>Table136[[#This Row],[Estimated Sell Price]]-Table136[[#This Row],[eBay Fee (9%)]]-Table136[[#This Row],[Parts]]-Table136[[#This Row],[Cost]]-Table136[[#This Row],[Postage]]</f>
        <v>0</v>
      </c>
      <c r="H40" s="9"/>
      <c r="I40" s="9"/>
      <c r="J40" s="9">
        <f>SUM(Table136[[#This Row],[Actual eBay Sell Price (inc fees)]]-Table136[[#This Row],[Parts]]-Table136[[#This Row],[Cost]]-Table136[[#This Row],[Postage]])</f>
        <v>0</v>
      </c>
    </row>
    <row r="41" spans="1:10" x14ac:dyDescent="0.25">
      <c r="A41" s="8"/>
      <c r="B41" s="12"/>
      <c r="C41" s="2"/>
      <c r="D41" s="2"/>
      <c r="E41" s="2">
        <f>0.09*Table136[[#This Row],[Estimated Sell Price]]</f>
        <v>0</v>
      </c>
      <c r="F41" s="2"/>
      <c r="G41" s="2">
        <f>Table136[[#This Row],[Estimated Sell Price]]-Table136[[#This Row],[eBay Fee (9%)]]-Table136[[#This Row],[Parts]]-Table136[[#This Row],[Cost]]-Table136[[#This Row],[Postage]]</f>
        <v>0</v>
      </c>
      <c r="H41" s="9"/>
      <c r="I41" s="9"/>
      <c r="J41" s="9">
        <f>SUM(Table136[[#This Row],[Actual eBay Sell Price (inc fees)]]-Table136[[#This Row],[Parts]]-Table136[[#This Row],[Cost]]-Table136[[#This Row],[Postage]])</f>
        <v>0</v>
      </c>
    </row>
    <row r="42" spans="1:10" x14ac:dyDescent="0.25">
      <c r="A42" s="8"/>
      <c r="B42" s="12"/>
      <c r="C42" s="2"/>
      <c r="D42" s="2"/>
      <c r="E42" s="2">
        <f>0.09*Table136[[#This Row],[Estimated Sell Price]]</f>
        <v>0</v>
      </c>
      <c r="F42" s="2"/>
      <c r="G42" s="2">
        <f>Table136[[#This Row],[Estimated Sell Price]]-Table136[[#This Row],[eBay Fee (9%)]]-Table136[[#This Row],[Parts]]-Table136[[#This Row],[Cost]]-Table136[[#This Row],[Postage]]</f>
        <v>0</v>
      </c>
      <c r="H42" s="9"/>
      <c r="I42" s="9"/>
      <c r="J42" s="9">
        <f>SUM(Table136[[#This Row],[Actual eBay Sell Price (inc fees)]]-Table136[[#This Row],[Parts]]-Table136[[#This Row],[Cost]]-Table136[[#This Row],[Postage]])</f>
        <v>0</v>
      </c>
    </row>
    <row r="43" spans="1:10" x14ac:dyDescent="0.25">
      <c r="A43" s="8"/>
      <c r="B43" s="12"/>
      <c r="C43" s="2"/>
      <c r="D43" s="2"/>
      <c r="E43" s="2">
        <f>0.09*Table136[[#This Row],[Estimated Sell Price]]</f>
        <v>0</v>
      </c>
      <c r="F43" s="2"/>
      <c r="G43" s="2">
        <f>Table136[[#This Row],[Estimated Sell Price]]-Table136[[#This Row],[eBay Fee (9%)]]-Table136[[#This Row],[Parts]]-Table136[[#This Row],[Cost]]-Table136[[#This Row],[Postage]]</f>
        <v>0</v>
      </c>
      <c r="H43" s="9"/>
      <c r="I43" s="9"/>
      <c r="J43" s="9">
        <f>SUM(Table136[[#This Row],[Actual eBay Sell Price (inc fees)]]-Table136[[#This Row],[Parts]]-Table136[[#This Row],[Cost]]-Table136[[#This Row],[Postage]])</f>
        <v>0</v>
      </c>
    </row>
    <row r="44" spans="1:10" x14ac:dyDescent="0.25">
      <c r="A44" s="8"/>
      <c r="B44" s="12"/>
      <c r="C44" s="2"/>
      <c r="D44" s="2"/>
      <c r="E44" s="2">
        <f>0.09*Table136[[#This Row],[Estimated Sell Price]]</f>
        <v>0</v>
      </c>
      <c r="F44" s="2"/>
      <c r="G44" s="2">
        <f>Table136[[#This Row],[Estimated Sell Price]]-Table136[[#This Row],[eBay Fee (9%)]]-Table136[[#This Row],[Parts]]-Table136[[#This Row],[Cost]]-Table136[[#This Row],[Postage]]</f>
        <v>0</v>
      </c>
      <c r="H44" s="9"/>
      <c r="I44" s="9"/>
      <c r="J44" s="9">
        <f>SUM(Table136[[#This Row],[Actual eBay Sell Price (inc fees)]]-Table136[[#This Row],[Parts]]-Table136[[#This Row],[Cost]]-Table136[[#This Row],[Postage]])</f>
        <v>0</v>
      </c>
    </row>
    <row r="45" spans="1:10" x14ac:dyDescent="0.25">
      <c r="A45" s="8"/>
      <c r="B45" s="12"/>
      <c r="C45" s="2"/>
      <c r="D45" s="2"/>
      <c r="E45" s="2">
        <f>0.09*Table136[[#This Row],[Estimated Sell Price]]</f>
        <v>0</v>
      </c>
      <c r="F45" s="2"/>
      <c r="G45" s="2">
        <f>Table136[[#This Row],[Estimated Sell Price]]-Table136[[#This Row],[eBay Fee (9%)]]-Table136[[#This Row],[Parts]]-Table136[[#This Row],[Cost]]-Table136[[#This Row],[Postage]]</f>
        <v>0</v>
      </c>
      <c r="H45" s="9"/>
      <c r="I45" s="9"/>
      <c r="J45" s="9">
        <f>SUM(Table136[[#This Row],[Actual eBay Sell Price (inc fees)]]-Table136[[#This Row],[Parts]]-Table136[[#This Row],[Cost]]-Table136[[#This Row],[Postage]])</f>
        <v>0</v>
      </c>
    </row>
    <row r="46" spans="1:10" x14ac:dyDescent="0.25">
      <c r="A46" s="8"/>
      <c r="B46" s="12"/>
      <c r="C46" s="2"/>
      <c r="D46" s="2"/>
      <c r="E46" s="2">
        <f>0.09*Table136[[#This Row],[Estimated Sell Price]]</f>
        <v>0</v>
      </c>
      <c r="F46" s="2"/>
      <c r="G46" s="2">
        <f>Table136[[#This Row],[Estimated Sell Price]]-Table136[[#This Row],[eBay Fee (9%)]]-Table136[[#This Row],[Parts]]-Table136[[#This Row],[Cost]]-Table136[[#This Row],[Postage]]</f>
        <v>0</v>
      </c>
      <c r="H46" s="9"/>
      <c r="I46" s="9"/>
      <c r="J46" s="9">
        <f>SUM(Table136[[#This Row],[Actual eBay Sell Price (inc fees)]]-Table136[[#This Row],[Parts]]-Table136[[#This Row],[Cost]]-Table136[[#This Row],[Postage]])</f>
        <v>0</v>
      </c>
    </row>
    <row r="47" spans="1:10" x14ac:dyDescent="0.25">
      <c r="A47" s="8"/>
      <c r="B47" s="12"/>
      <c r="C47" s="2"/>
      <c r="D47" s="2"/>
      <c r="E47" s="2">
        <f>0.09*Table136[[#This Row],[Estimated Sell Price]]</f>
        <v>0</v>
      </c>
      <c r="F47" s="2"/>
      <c r="G47" s="2">
        <f>Table136[[#This Row],[Estimated Sell Price]]-Table136[[#This Row],[eBay Fee (9%)]]-Table136[[#This Row],[Parts]]-Table136[[#This Row],[Cost]]-Table136[[#This Row],[Postage]]</f>
        <v>0</v>
      </c>
      <c r="H47" s="9"/>
      <c r="I47" s="9"/>
      <c r="J47" s="9">
        <f>SUM(Table136[[#This Row],[Actual eBay Sell Price (inc fees)]]-Table136[[#This Row],[Parts]]-Table136[[#This Row],[Cost]]-Table136[[#This Row],[Postage]])</f>
        <v>0</v>
      </c>
    </row>
    <row r="48" spans="1:10" x14ac:dyDescent="0.25">
      <c r="A48" s="8"/>
      <c r="B48" s="12"/>
      <c r="C48" s="2"/>
      <c r="D48" s="2"/>
      <c r="E48" s="2">
        <f>0.09*Table136[[#This Row],[Estimated Sell Price]]</f>
        <v>0</v>
      </c>
      <c r="F48" s="2"/>
      <c r="G48" s="2">
        <f>Table136[[#This Row],[Estimated Sell Price]]-Table136[[#This Row],[eBay Fee (9%)]]-Table136[[#This Row],[Parts]]-Table136[[#This Row],[Cost]]-Table136[[#This Row],[Postage]]</f>
        <v>0</v>
      </c>
      <c r="H48" s="9"/>
      <c r="I48" s="9"/>
      <c r="J48" s="9">
        <f>SUM(Table136[[#This Row],[Actual eBay Sell Price (inc fees)]]-Table136[[#This Row],[Parts]]-Table136[[#This Row],[Cost]]-Table136[[#This Row],[Postage]])</f>
        <v>0</v>
      </c>
    </row>
    <row r="49" spans="1:10" x14ac:dyDescent="0.25">
      <c r="A49" s="8"/>
      <c r="B49" s="12"/>
      <c r="C49" s="2"/>
      <c r="D49" s="2"/>
      <c r="E49" s="2">
        <f>0.09*Table136[[#This Row],[Estimated Sell Price]]</f>
        <v>0</v>
      </c>
      <c r="F49" s="2"/>
      <c r="G49" s="2">
        <f>Table136[[#This Row],[Estimated Sell Price]]-Table136[[#This Row],[eBay Fee (9%)]]-Table136[[#This Row],[Parts]]-Table136[[#This Row],[Cost]]-Table136[[#This Row],[Postage]]</f>
        <v>0</v>
      </c>
      <c r="H49" s="9"/>
      <c r="I49" s="9"/>
      <c r="J49" s="9">
        <f>SUM(Table136[[#This Row],[Actual eBay Sell Price (inc fees)]]-Table136[[#This Row],[Parts]]-Table136[[#This Row],[Cost]]-Table136[[#This Row],[Postage]])</f>
        <v>0</v>
      </c>
    </row>
    <row r="50" spans="1:10" x14ac:dyDescent="0.25">
      <c r="A50" s="8"/>
      <c r="B50" s="12"/>
      <c r="C50" s="2"/>
      <c r="D50" s="2"/>
      <c r="E50" s="2">
        <f>0.09*Table136[[#This Row],[Estimated Sell Price]]</f>
        <v>0</v>
      </c>
      <c r="F50" s="2"/>
      <c r="G50" s="2">
        <f>Table136[[#This Row],[Estimated Sell Price]]-Table136[[#This Row],[eBay Fee (9%)]]-Table136[[#This Row],[Parts]]-Table136[[#This Row],[Cost]]-Table136[[#This Row],[Postage]]</f>
        <v>0</v>
      </c>
      <c r="H50" s="9"/>
      <c r="I50" s="9"/>
      <c r="J50" s="9">
        <f>SUM(Table136[[#This Row],[Actual eBay Sell Price (inc fees)]]-Table136[[#This Row],[Parts]]-Table136[[#This Row],[Cost]]-Table136[[#This Row],[Postage]])</f>
        <v>0</v>
      </c>
    </row>
    <row r="51" spans="1:10" x14ac:dyDescent="0.25">
      <c r="A51" s="8"/>
      <c r="B51" s="12"/>
      <c r="C51" s="2"/>
      <c r="D51" s="2"/>
      <c r="E51" s="2">
        <f>0.09*Table136[[#This Row],[Estimated Sell Price]]</f>
        <v>0</v>
      </c>
      <c r="F51" s="2"/>
      <c r="G51" s="2">
        <f>Table136[[#This Row],[Estimated Sell Price]]-Table136[[#This Row],[eBay Fee (9%)]]-Table136[[#This Row],[Parts]]-Table136[[#This Row],[Cost]]-Table136[[#This Row],[Postage]]</f>
        <v>0</v>
      </c>
      <c r="H51" s="9"/>
      <c r="I51" s="9"/>
      <c r="J51" s="9">
        <f>SUM(Table136[[#This Row],[Actual eBay Sell Price (inc fees)]]-Table136[[#This Row],[Parts]]-Table136[[#This Row],[Cost]]-Table136[[#This Row],[Postage]])</f>
        <v>0</v>
      </c>
    </row>
    <row r="52" spans="1:10" x14ac:dyDescent="0.25">
      <c r="A52" s="8"/>
      <c r="B52" s="12"/>
      <c r="C52" s="2"/>
      <c r="D52" s="2"/>
      <c r="E52" s="2">
        <f>0.09*Table136[[#This Row],[Estimated Sell Price]]</f>
        <v>0</v>
      </c>
      <c r="F52" s="2"/>
      <c r="G52" s="2">
        <f>Table136[[#This Row],[Estimated Sell Price]]-Table136[[#This Row],[eBay Fee (9%)]]-Table136[[#This Row],[Parts]]-Table136[[#This Row],[Cost]]-Table136[[#This Row],[Postage]]</f>
        <v>0</v>
      </c>
      <c r="H52" s="9"/>
      <c r="I52" s="9"/>
      <c r="J52" s="9">
        <f>SUM(Table136[[#This Row],[Actual eBay Sell Price (inc fees)]]-Table136[[#This Row],[Parts]]-Table136[[#This Row],[Cost]]-Table136[[#This Row],[Postage]])</f>
        <v>0</v>
      </c>
    </row>
    <row r="53" spans="1:10" x14ac:dyDescent="0.25">
      <c r="A53" s="8"/>
      <c r="B53" s="12"/>
      <c r="C53" s="2"/>
      <c r="D53" s="2"/>
      <c r="E53" s="2">
        <f>0.09*Table136[[#This Row],[Estimated Sell Price]]</f>
        <v>0</v>
      </c>
      <c r="F53" s="2"/>
      <c r="G53" s="2">
        <f>Table136[[#This Row],[Estimated Sell Price]]-Table136[[#This Row],[eBay Fee (9%)]]-Table136[[#This Row],[Parts]]-Table136[[#This Row],[Cost]]-Table136[[#This Row],[Postage]]</f>
        <v>0</v>
      </c>
      <c r="H53" s="9"/>
      <c r="I53" s="9"/>
      <c r="J53" s="9">
        <f>SUM(Table136[[#This Row],[Actual eBay Sell Price (inc fees)]]-Table136[[#This Row],[Parts]]-Table136[[#This Row],[Cost]]-Table136[[#This Row],[Postage]])</f>
        <v>0</v>
      </c>
    </row>
    <row r="54" spans="1:10" x14ac:dyDescent="0.25">
      <c r="A54" s="8"/>
      <c r="B54" s="12"/>
      <c r="C54" s="2"/>
      <c r="D54" s="2"/>
      <c r="E54" s="2">
        <f>0.09*Table136[[#This Row],[Estimated Sell Price]]</f>
        <v>0</v>
      </c>
      <c r="F54" s="2"/>
      <c r="G54" s="2">
        <f>Table136[[#This Row],[Estimated Sell Price]]-Table136[[#This Row],[eBay Fee (9%)]]-Table136[[#This Row],[Parts]]-Table136[[#This Row],[Cost]]-Table136[[#This Row],[Postage]]</f>
        <v>0</v>
      </c>
      <c r="H54" s="9"/>
      <c r="I54" s="9"/>
      <c r="J54" s="9">
        <f>SUM(Table136[[#This Row],[Actual eBay Sell Price (inc fees)]]-Table136[[#This Row],[Parts]]-Table136[[#This Row],[Cost]]-Table136[[#This Row],[Postage]])</f>
        <v>0</v>
      </c>
    </row>
    <row r="55" spans="1:10" x14ac:dyDescent="0.25">
      <c r="A55" s="8"/>
      <c r="B55" s="12"/>
      <c r="C55" s="2"/>
      <c r="D55" s="2"/>
      <c r="E55" s="2">
        <f>0.09*Table136[[#This Row],[Estimated Sell Price]]</f>
        <v>0</v>
      </c>
      <c r="F55" s="2"/>
      <c r="G55" s="2">
        <f>Table136[[#This Row],[Estimated Sell Price]]-Table136[[#This Row],[eBay Fee (9%)]]-Table136[[#This Row],[Parts]]-Table136[[#This Row],[Cost]]-Table136[[#This Row],[Postage]]</f>
        <v>0</v>
      </c>
      <c r="H55" s="9"/>
      <c r="I55" s="9"/>
      <c r="J55" s="9">
        <f>SUM(Table136[[#This Row],[Actual eBay Sell Price (inc fees)]]-Table136[[#This Row],[Parts]]-Table136[[#This Row],[Cost]]-Table136[[#This Row],[Postage]])</f>
        <v>0</v>
      </c>
    </row>
    <row r="56" spans="1:10" x14ac:dyDescent="0.25">
      <c r="A56" s="8"/>
      <c r="B56" s="12"/>
      <c r="C56" s="2"/>
      <c r="D56" s="2"/>
      <c r="E56" s="2">
        <f>0.09*Table136[[#This Row],[Estimated Sell Price]]</f>
        <v>0</v>
      </c>
      <c r="F56" s="2"/>
      <c r="G56" s="2">
        <f>Table136[[#This Row],[Estimated Sell Price]]-Table136[[#This Row],[eBay Fee (9%)]]-Table136[[#This Row],[Parts]]-Table136[[#This Row],[Cost]]-Table136[[#This Row],[Postage]]</f>
        <v>0</v>
      </c>
      <c r="H56" s="9"/>
      <c r="I56" s="9"/>
      <c r="J56" s="9">
        <f>SUM(Table136[[#This Row],[Actual eBay Sell Price (inc fees)]]-Table136[[#This Row],[Parts]]-Table136[[#This Row],[Cost]]-Table136[[#This Row],[Postage]])</f>
        <v>0</v>
      </c>
    </row>
    <row r="57" spans="1:10" x14ac:dyDescent="0.25">
      <c r="A57" s="8"/>
      <c r="B57" s="12"/>
      <c r="C57" s="2"/>
      <c r="D57" s="2"/>
      <c r="E57" s="2">
        <f>0.09*Table136[[#This Row],[Estimated Sell Price]]</f>
        <v>0</v>
      </c>
      <c r="F57" s="2"/>
      <c r="G57" s="2">
        <f>Table136[[#This Row],[Estimated Sell Price]]-Table136[[#This Row],[eBay Fee (9%)]]-Table136[[#This Row],[Parts]]-Table136[[#This Row],[Cost]]-Table136[[#This Row],[Postage]]</f>
        <v>0</v>
      </c>
      <c r="H57" s="9"/>
      <c r="I57" s="9"/>
      <c r="J57" s="9">
        <f>SUM(Table136[[#This Row],[Actual eBay Sell Price (inc fees)]]-Table136[[#This Row],[Parts]]-Table136[[#This Row],[Cost]]-Table136[[#This Row],[Postage]])</f>
        <v>0</v>
      </c>
    </row>
    <row r="58" spans="1:10" x14ac:dyDescent="0.25">
      <c r="A58" s="8"/>
      <c r="B58" s="12"/>
      <c r="C58" s="2"/>
      <c r="D58" s="2"/>
      <c r="E58" s="2">
        <f>0.09*Table136[[#This Row],[Estimated Sell Price]]</f>
        <v>0</v>
      </c>
      <c r="F58" s="2"/>
      <c r="G58" s="2">
        <f>Table136[[#This Row],[Estimated Sell Price]]-Table136[[#This Row],[eBay Fee (9%)]]-Table136[[#This Row],[Parts]]-Table136[[#This Row],[Cost]]-Table136[[#This Row],[Postage]]</f>
        <v>0</v>
      </c>
      <c r="H58" s="9"/>
      <c r="I58" s="9"/>
      <c r="J58" s="9">
        <f>SUM(Table136[[#This Row],[Actual eBay Sell Price (inc fees)]]-Table136[[#This Row],[Parts]]-Table136[[#This Row],[Cost]]-Table136[[#This Row],[Postage]])</f>
        <v>0</v>
      </c>
    </row>
    <row r="59" spans="1:10" x14ac:dyDescent="0.25">
      <c r="A59" s="8"/>
      <c r="B59" s="12"/>
      <c r="C59" s="2"/>
      <c r="D59" s="2"/>
      <c r="E59" s="2">
        <f>0.09*Table136[[#This Row],[Estimated Sell Price]]</f>
        <v>0</v>
      </c>
      <c r="F59" s="2"/>
      <c r="G59" s="2">
        <f>Table136[[#This Row],[Estimated Sell Price]]-Table136[[#This Row],[eBay Fee (9%)]]-Table136[[#This Row],[Parts]]-Table136[[#This Row],[Cost]]-Table136[[#This Row],[Postage]]</f>
        <v>0</v>
      </c>
      <c r="H59" s="9"/>
      <c r="I59" s="9"/>
      <c r="J59" s="9">
        <f>SUM(Table136[[#This Row],[Actual eBay Sell Price (inc fees)]]-Table136[[#This Row],[Parts]]-Table136[[#This Row],[Cost]]-Table136[[#This Row],[Postage]])</f>
        <v>0</v>
      </c>
    </row>
    <row r="60" spans="1:10" x14ac:dyDescent="0.25">
      <c r="A60" s="8"/>
      <c r="B60" s="12"/>
      <c r="C60" s="2"/>
      <c r="D60" s="2"/>
      <c r="E60" s="2">
        <f>0.09*Table136[[#This Row],[Estimated Sell Price]]</f>
        <v>0</v>
      </c>
      <c r="F60" s="2"/>
      <c r="G60" s="2">
        <f>Table136[[#This Row],[Estimated Sell Price]]-Table136[[#This Row],[eBay Fee (9%)]]-Table136[[#This Row],[Parts]]-Table136[[#This Row],[Cost]]-Table136[[#This Row],[Postage]]</f>
        <v>0</v>
      </c>
      <c r="H60" s="9"/>
      <c r="I60" s="9"/>
      <c r="J60" s="9">
        <f>SUM(Table136[[#This Row],[Actual eBay Sell Price (inc fees)]]-Table136[[#This Row],[Parts]]-Table136[[#This Row],[Cost]]-Table136[[#This Row],[Postage]])</f>
        <v>0</v>
      </c>
    </row>
    <row r="61" spans="1:10" x14ac:dyDescent="0.25">
      <c r="A61" s="8"/>
      <c r="B61" s="12"/>
      <c r="C61" s="2"/>
      <c r="D61" s="2"/>
      <c r="E61" s="2">
        <f>0.09*Table136[[#This Row],[Estimated Sell Price]]</f>
        <v>0</v>
      </c>
      <c r="F61" s="2"/>
      <c r="G61" s="2">
        <f>Table136[[#This Row],[Estimated Sell Price]]-Table136[[#This Row],[eBay Fee (9%)]]-Table136[[#This Row],[Parts]]-Table136[[#This Row],[Cost]]-Table136[[#This Row],[Postage]]</f>
        <v>0</v>
      </c>
      <c r="H61" s="9"/>
      <c r="I61" s="9"/>
      <c r="J61" s="9">
        <f>SUM(Table136[[#This Row],[Actual eBay Sell Price (inc fees)]]-Table136[[#This Row],[Parts]]-Table136[[#This Row],[Cost]]-Table136[[#This Row],[Postage]])</f>
        <v>0</v>
      </c>
    </row>
    <row r="62" spans="1:10" x14ac:dyDescent="0.25">
      <c r="A62" s="8"/>
      <c r="B62" s="12"/>
      <c r="C62" s="2"/>
      <c r="D62" s="2"/>
      <c r="E62" s="2">
        <f>0.09*Table136[[#This Row],[Estimated Sell Price]]</f>
        <v>0</v>
      </c>
      <c r="F62" s="2"/>
      <c r="G62" s="2">
        <f>Table136[[#This Row],[Estimated Sell Price]]-Table136[[#This Row],[eBay Fee (9%)]]-Table136[[#This Row],[Parts]]-Table136[[#This Row],[Cost]]-Table136[[#This Row],[Postage]]</f>
        <v>0</v>
      </c>
      <c r="H62" s="9"/>
      <c r="I62" s="9"/>
      <c r="J62" s="9">
        <f>SUM(Table136[[#This Row],[Actual eBay Sell Price (inc fees)]]-Table136[[#This Row],[Parts]]-Table136[[#This Row],[Cost]]-Table136[[#This Row],[Postage]])</f>
        <v>0</v>
      </c>
    </row>
    <row r="63" spans="1:10" x14ac:dyDescent="0.25">
      <c r="A63" s="8"/>
      <c r="B63" s="12"/>
      <c r="C63" s="2"/>
      <c r="D63" s="2"/>
      <c r="E63" s="2">
        <f>0.09*Table136[[#This Row],[Estimated Sell Price]]</f>
        <v>0</v>
      </c>
      <c r="F63" s="2"/>
      <c r="G63" s="2">
        <f>Table136[[#This Row],[Estimated Sell Price]]-Table136[[#This Row],[eBay Fee (9%)]]-Table136[[#This Row],[Parts]]-Table136[[#This Row],[Cost]]-Table136[[#This Row],[Postage]]</f>
        <v>0</v>
      </c>
      <c r="H63" s="9"/>
      <c r="I63" s="9"/>
      <c r="J63" s="9">
        <f>SUM(Table136[[#This Row],[Actual eBay Sell Price (inc fees)]]-Table136[[#This Row],[Parts]]-Table136[[#This Row],[Cost]]-Table136[[#This Row],[Postage]])</f>
        <v>0</v>
      </c>
    </row>
    <row r="64" spans="1:10" x14ac:dyDescent="0.25">
      <c r="A64" s="8"/>
      <c r="B64" s="12"/>
      <c r="C64" s="2"/>
      <c r="D64" s="2"/>
      <c r="E64" s="2">
        <f>0.09*Table136[[#This Row],[Estimated Sell Price]]</f>
        <v>0</v>
      </c>
      <c r="F64" s="2"/>
      <c r="G64" s="2">
        <f>Table136[[#This Row],[Estimated Sell Price]]-Table136[[#This Row],[eBay Fee (9%)]]-Table136[[#This Row],[Parts]]-Table136[[#This Row],[Cost]]-Table136[[#This Row],[Postage]]</f>
        <v>0</v>
      </c>
      <c r="H64" s="9"/>
      <c r="I64" s="9"/>
      <c r="J64" s="9">
        <f>SUM(Table136[[#This Row],[Actual eBay Sell Price (inc fees)]]-Table136[[#This Row],[Parts]]-Table136[[#This Row],[Cost]]-Table136[[#This Row],[Postage]])</f>
        <v>0</v>
      </c>
    </row>
    <row r="65" spans="1:10" x14ac:dyDescent="0.25">
      <c r="A65" s="8"/>
      <c r="B65" s="12"/>
      <c r="C65" s="2"/>
      <c r="D65" s="2"/>
      <c r="E65" s="2">
        <f>0.09*Table136[[#This Row],[Estimated Sell Price]]</f>
        <v>0</v>
      </c>
      <c r="F65" s="2"/>
      <c r="G65" s="2">
        <f>Table136[[#This Row],[Estimated Sell Price]]-Table136[[#This Row],[eBay Fee (9%)]]-Table136[[#This Row],[Parts]]-Table136[[#This Row],[Cost]]-Table136[[#This Row],[Postage]]</f>
        <v>0</v>
      </c>
      <c r="H65" s="9"/>
      <c r="I65" s="9"/>
      <c r="J65" s="9">
        <f>SUM(Table136[[#This Row],[Actual eBay Sell Price (inc fees)]]-Table136[[#This Row],[Parts]]-Table136[[#This Row],[Cost]]-Table136[[#This Row],[Postage]])</f>
        <v>0</v>
      </c>
    </row>
    <row r="66" spans="1:10" x14ac:dyDescent="0.25">
      <c r="A66" s="8"/>
      <c r="B66" s="12"/>
      <c r="C66" s="2"/>
      <c r="D66" s="2"/>
      <c r="E66" s="2">
        <f>0.09*Table136[[#This Row],[Estimated Sell Price]]</f>
        <v>0</v>
      </c>
      <c r="F66" s="2"/>
      <c r="G66" s="2">
        <f>Table136[[#This Row],[Estimated Sell Price]]-Table136[[#This Row],[eBay Fee (9%)]]-Table136[[#This Row],[Parts]]-Table136[[#This Row],[Cost]]-Table136[[#This Row],[Postage]]</f>
        <v>0</v>
      </c>
      <c r="H66" s="9"/>
      <c r="I66" s="9"/>
      <c r="J66" s="9">
        <f>SUM(Table136[[#This Row],[Actual eBay Sell Price (inc fees)]]-Table136[[#This Row],[Parts]]-Table136[[#This Row],[Cost]]-Table136[[#This Row],[Postage]])</f>
        <v>0</v>
      </c>
    </row>
    <row r="67" spans="1:10" x14ac:dyDescent="0.25">
      <c r="A67" s="8"/>
      <c r="B67" s="12"/>
      <c r="C67" s="2"/>
      <c r="D67" s="2"/>
      <c r="E67" s="2">
        <f>0.09*Table136[[#This Row],[Estimated Sell Price]]</f>
        <v>0</v>
      </c>
      <c r="F67" s="2"/>
      <c r="G67" s="2">
        <f>Table136[[#This Row],[Estimated Sell Price]]-Table136[[#This Row],[eBay Fee (9%)]]-Table136[[#This Row],[Parts]]-Table136[[#This Row],[Cost]]-Table136[[#This Row],[Postage]]</f>
        <v>0</v>
      </c>
      <c r="H67" s="9"/>
      <c r="I67" s="9"/>
      <c r="J67" s="9">
        <f>SUM(Table136[[#This Row],[Actual eBay Sell Price (inc fees)]]-Table136[[#This Row],[Parts]]-Table136[[#This Row],[Cost]]-Table136[[#This Row],[Postage]])</f>
        <v>0</v>
      </c>
    </row>
    <row r="68" spans="1:10" x14ac:dyDescent="0.25">
      <c r="A68" s="8"/>
      <c r="B68" s="12"/>
      <c r="C68" s="2"/>
      <c r="D68" s="2"/>
      <c r="E68" s="2">
        <f>0.09*Table136[[#This Row],[Estimated Sell Price]]</f>
        <v>0</v>
      </c>
      <c r="F68" s="2"/>
      <c r="G68" s="2">
        <f>Table136[[#This Row],[Estimated Sell Price]]-Table136[[#This Row],[eBay Fee (9%)]]-Table136[[#This Row],[Parts]]-Table136[[#This Row],[Cost]]-Table136[[#This Row],[Postage]]</f>
        <v>0</v>
      </c>
      <c r="H68" s="9"/>
      <c r="I68" s="9"/>
      <c r="J68" s="9">
        <f>SUM(Table136[[#This Row],[Actual eBay Sell Price (inc fees)]]-Table136[[#This Row],[Parts]]-Table136[[#This Row],[Cost]]-Table136[[#This Row],[Postage]])</f>
        <v>0</v>
      </c>
    </row>
    <row r="69" spans="1:10" x14ac:dyDescent="0.25">
      <c r="A69" s="8"/>
      <c r="B69" s="12"/>
      <c r="C69" s="2"/>
      <c r="D69" s="2"/>
      <c r="E69" s="2">
        <f>0.09*Table136[[#This Row],[Estimated Sell Price]]</f>
        <v>0</v>
      </c>
      <c r="F69" s="2"/>
      <c r="G69" s="2">
        <f>Table136[[#This Row],[Estimated Sell Price]]-Table136[[#This Row],[eBay Fee (9%)]]-Table136[[#This Row],[Parts]]-Table136[[#This Row],[Cost]]-Table136[[#This Row],[Postage]]</f>
        <v>0</v>
      </c>
      <c r="H69" s="9"/>
      <c r="I69" s="9"/>
      <c r="J69" s="9">
        <f>SUM(Table136[[#This Row],[Actual eBay Sell Price (inc fees)]]-Table136[[#This Row],[Parts]]-Table136[[#This Row],[Cost]]-Table136[[#This Row],[Postage]])</f>
        <v>0</v>
      </c>
    </row>
    <row r="70" spans="1:10" x14ac:dyDescent="0.25">
      <c r="A70" s="8"/>
      <c r="B70" s="12"/>
      <c r="C70" s="2"/>
      <c r="D70" s="2"/>
      <c r="E70" s="2">
        <f>0.09*Table136[[#This Row],[Estimated Sell Price]]</f>
        <v>0</v>
      </c>
      <c r="F70" s="2"/>
      <c r="G70" s="2">
        <f>Table136[[#This Row],[Estimated Sell Price]]-Table136[[#This Row],[eBay Fee (9%)]]-Table136[[#This Row],[Parts]]-Table136[[#This Row],[Cost]]-Table136[[#This Row],[Postage]]</f>
        <v>0</v>
      </c>
      <c r="H70" s="9"/>
      <c r="I70" s="9"/>
      <c r="J70" s="9">
        <f>SUM(Table136[[#This Row],[Actual eBay Sell Price (inc fees)]]-Table136[[#This Row],[Parts]]-Table136[[#This Row],[Cost]]-Table136[[#This Row],[Postage]])</f>
        <v>0</v>
      </c>
    </row>
    <row r="71" spans="1:10" x14ac:dyDescent="0.25">
      <c r="A71" s="8"/>
      <c r="B71" s="12"/>
      <c r="C71" s="2"/>
      <c r="D71" s="2"/>
      <c r="E71" s="2">
        <f>0.09*Table136[[#This Row],[Estimated Sell Price]]</f>
        <v>0</v>
      </c>
      <c r="F71" s="2"/>
      <c r="G71" s="2">
        <f>Table136[[#This Row],[Estimated Sell Price]]-Table136[[#This Row],[eBay Fee (9%)]]-Table136[[#This Row],[Parts]]-Table136[[#This Row],[Cost]]-Table136[[#This Row],[Postage]]</f>
        <v>0</v>
      </c>
      <c r="H71" s="9"/>
      <c r="I71" s="9"/>
      <c r="J71" s="9">
        <f>SUM(Table136[[#This Row],[Actual eBay Sell Price (inc fees)]]-Table136[[#This Row],[Parts]]-Table136[[#This Row],[Cost]]-Table136[[#This Row],[Postage]])</f>
        <v>0</v>
      </c>
    </row>
    <row r="72" spans="1:10" x14ac:dyDescent="0.25">
      <c r="A72" s="8"/>
      <c r="B72" s="12"/>
      <c r="C72" s="2"/>
      <c r="D72" s="2"/>
      <c r="E72" s="2">
        <f>0.09*Table136[[#This Row],[Estimated Sell Price]]</f>
        <v>0</v>
      </c>
      <c r="F72" s="2"/>
      <c r="G72" s="2">
        <f>Table136[[#This Row],[Estimated Sell Price]]-Table136[[#This Row],[eBay Fee (9%)]]-Table136[[#This Row],[Parts]]-Table136[[#This Row],[Cost]]-Table136[[#This Row],[Postage]]</f>
        <v>0</v>
      </c>
      <c r="H72" s="9"/>
      <c r="I72" s="9"/>
      <c r="J72" s="9">
        <f>SUM(Table136[[#This Row],[Actual eBay Sell Price (inc fees)]]-Table136[[#This Row],[Parts]]-Table136[[#This Row],[Cost]]-Table136[[#This Row],[Postage]])</f>
        <v>0</v>
      </c>
    </row>
    <row r="73" spans="1:10" x14ac:dyDescent="0.25">
      <c r="A73" s="8"/>
      <c r="B73" s="12"/>
      <c r="C73" s="2"/>
      <c r="D73" s="2"/>
      <c r="E73" s="2">
        <f>0.09*Table136[[#This Row],[Estimated Sell Price]]</f>
        <v>0</v>
      </c>
      <c r="F73" s="2"/>
      <c r="G73" s="2">
        <f>Table136[[#This Row],[Estimated Sell Price]]-Table136[[#This Row],[eBay Fee (9%)]]-Table136[[#This Row],[Parts]]-Table136[[#This Row],[Cost]]-Table136[[#This Row],[Postage]]</f>
        <v>0</v>
      </c>
      <c r="H73" s="9"/>
      <c r="I73" s="9"/>
      <c r="J73" s="9">
        <f>SUM(Table136[[#This Row],[Actual eBay Sell Price (inc fees)]]-Table136[[#This Row],[Parts]]-Table136[[#This Row],[Cost]]-Table136[[#This Row],[Postage]])</f>
        <v>0</v>
      </c>
    </row>
    <row r="74" spans="1:10" x14ac:dyDescent="0.25">
      <c r="A74" s="8"/>
      <c r="B74" s="12"/>
      <c r="C74" s="2"/>
      <c r="D74" s="2"/>
      <c r="E74" s="2">
        <f>0.09*Table136[[#This Row],[Estimated Sell Price]]</f>
        <v>0</v>
      </c>
      <c r="F74" s="2"/>
      <c r="G74" s="2">
        <f>Table136[[#This Row],[Estimated Sell Price]]-Table136[[#This Row],[eBay Fee (9%)]]-Table136[[#This Row],[Parts]]-Table136[[#This Row],[Cost]]-Table136[[#This Row],[Postage]]</f>
        <v>0</v>
      </c>
      <c r="H74" s="9"/>
      <c r="I74" s="9"/>
      <c r="J74" s="9">
        <f>SUM(Table136[[#This Row],[Actual eBay Sell Price (inc fees)]]-Table136[[#This Row],[Parts]]-Table136[[#This Row],[Cost]]-Table136[[#This Row],[Postage]])</f>
        <v>0</v>
      </c>
    </row>
    <row r="75" spans="1:10" x14ac:dyDescent="0.25">
      <c r="A75" s="8"/>
      <c r="B75" s="12"/>
      <c r="C75" s="2"/>
      <c r="D75" s="2"/>
      <c r="E75" s="2">
        <f>0.09*Table136[[#This Row],[Estimated Sell Price]]</f>
        <v>0</v>
      </c>
      <c r="F75" s="2"/>
      <c r="G75" s="2">
        <f>Table136[[#This Row],[Estimated Sell Price]]-Table136[[#This Row],[eBay Fee (9%)]]-Table136[[#This Row],[Parts]]-Table136[[#This Row],[Cost]]-Table136[[#This Row],[Postage]]</f>
        <v>0</v>
      </c>
      <c r="H75" s="9"/>
      <c r="I75" s="9"/>
      <c r="J75" s="9">
        <f>SUM(Table136[[#This Row],[Actual eBay Sell Price (inc fees)]]-Table136[[#This Row],[Parts]]-Table136[[#This Row],[Cost]]-Table136[[#This Row],[Postage]])</f>
        <v>0</v>
      </c>
    </row>
    <row r="76" spans="1:10" x14ac:dyDescent="0.25">
      <c r="A76" s="8"/>
      <c r="B76" s="12"/>
      <c r="C76" s="2"/>
      <c r="D76" s="2"/>
      <c r="E76" s="2">
        <f>0.09*Table136[[#This Row],[Estimated Sell Price]]</f>
        <v>0</v>
      </c>
      <c r="F76" s="2"/>
      <c r="G76" s="2">
        <f>Table136[[#This Row],[Estimated Sell Price]]-Table136[[#This Row],[eBay Fee (9%)]]-Table136[[#This Row],[Parts]]-Table136[[#This Row],[Cost]]-Table136[[#This Row],[Postage]]</f>
        <v>0</v>
      </c>
      <c r="H76" s="9"/>
      <c r="I76" s="9"/>
      <c r="J76" s="9">
        <f>SUM(Table136[[#This Row],[Actual eBay Sell Price (inc fees)]]-Table136[[#This Row],[Parts]]-Table136[[#This Row],[Cost]]-Table136[[#This Row],[Postage]])</f>
        <v>0</v>
      </c>
    </row>
    <row r="77" spans="1:10" x14ac:dyDescent="0.25">
      <c r="A77" s="8"/>
      <c r="B77" s="12"/>
      <c r="C77" s="2"/>
      <c r="D77" s="2"/>
      <c r="E77" s="2">
        <f>0.09*Table136[[#This Row],[Estimated Sell Price]]</f>
        <v>0</v>
      </c>
      <c r="F77" s="2"/>
      <c r="G77" s="2">
        <f>Table136[[#This Row],[Estimated Sell Price]]-Table136[[#This Row],[eBay Fee (9%)]]-Table136[[#This Row],[Parts]]-Table136[[#This Row],[Cost]]-Table136[[#This Row],[Postage]]</f>
        <v>0</v>
      </c>
      <c r="H77" s="9"/>
      <c r="I77" s="9"/>
      <c r="J77" s="9">
        <f>SUM(Table136[[#This Row],[Actual eBay Sell Price (inc fees)]]-Table136[[#This Row],[Parts]]-Table136[[#This Row],[Cost]]-Table136[[#This Row],[Postage]])</f>
        <v>0</v>
      </c>
    </row>
    <row r="78" spans="1:10" x14ac:dyDescent="0.25">
      <c r="A78" s="8"/>
      <c r="B78" s="12"/>
      <c r="C78" s="2"/>
      <c r="D78" s="2"/>
      <c r="E78" s="2">
        <f>0.09*Table136[[#This Row],[Estimated Sell Price]]</f>
        <v>0</v>
      </c>
      <c r="F78" s="2"/>
      <c r="G78" s="2">
        <f>Table136[[#This Row],[Estimated Sell Price]]-Table136[[#This Row],[eBay Fee (9%)]]-Table136[[#This Row],[Parts]]-Table136[[#This Row],[Cost]]-Table136[[#This Row],[Postage]]</f>
        <v>0</v>
      </c>
      <c r="H78" s="9"/>
      <c r="I78" s="9"/>
      <c r="J78" s="9">
        <f>SUM(Table136[[#This Row],[Actual eBay Sell Price (inc fees)]]-Table136[[#This Row],[Parts]]-Table136[[#This Row],[Cost]]-Table136[[#This Row],[Postage]])</f>
        <v>0</v>
      </c>
    </row>
    <row r="79" spans="1:10" x14ac:dyDescent="0.25">
      <c r="A79" s="8"/>
      <c r="B79" s="12"/>
      <c r="C79" s="2"/>
      <c r="D79" s="2"/>
      <c r="E79" s="2">
        <f>0.09*Table136[[#This Row],[Estimated Sell Price]]</f>
        <v>0</v>
      </c>
      <c r="F79" s="2"/>
      <c r="G79" s="2">
        <f>Table136[[#This Row],[Estimated Sell Price]]-Table136[[#This Row],[eBay Fee (9%)]]-Table136[[#This Row],[Parts]]-Table136[[#This Row],[Cost]]-Table136[[#This Row],[Postage]]</f>
        <v>0</v>
      </c>
      <c r="H79" s="9"/>
      <c r="I79" s="9"/>
      <c r="J79" s="9">
        <f>SUM(Table136[[#This Row],[Actual eBay Sell Price (inc fees)]]-Table136[[#This Row],[Parts]]-Table136[[#This Row],[Cost]]-Table136[[#This Row],[Postage]])</f>
        <v>0</v>
      </c>
    </row>
    <row r="80" spans="1:10" x14ac:dyDescent="0.25">
      <c r="A80" s="8"/>
      <c r="B80" s="12"/>
      <c r="C80" s="2"/>
      <c r="D80" s="2"/>
      <c r="E80" s="2">
        <f>0.09*Table136[[#This Row],[Estimated Sell Price]]</f>
        <v>0</v>
      </c>
      <c r="F80" s="2"/>
      <c r="G80" s="2">
        <f>Table136[[#This Row],[Estimated Sell Price]]-Table136[[#This Row],[eBay Fee (9%)]]-Table136[[#This Row],[Parts]]-Table136[[#This Row],[Cost]]-Table136[[#This Row],[Postage]]</f>
        <v>0</v>
      </c>
      <c r="H80" s="9"/>
      <c r="I80" s="9"/>
      <c r="J80" s="9">
        <f>SUM(Table136[[#This Row],[Actual eBay Sell Price (inc fees)]]-Table136[[#This Row],[Parts]]-Table136[[#This Row],[Cost]]-Table136[[#This Row],[Postage]])</f>
        <v>0</v>
      </c>
    </row>
    <row r="81" spans="1:10" x14ac:dyDescent="0.25">
      <c r="A81" s="8"/>
      <c r="B81" s="12"/>
      <c r="C81" s="2"/>
      <c r="D81" s="2"/>
      <c r="E81" s="2">
        <f>0.09*Table136[[#This Row],[Estimated Sell Price]]</f>
        <v>0</v>
      </c>
      <c r="F81" s="2"/>
      <c r="G81" s="2">
        <f>Table136[[#This Row],[Estimated Sell Price]]-Table136[[#This Row],[eBay Fee (9%)]]-Table136[[#This Row],[Parts]]-Table136[[#This Row],[Cost]]-Table136[[#This Row],[Postage]]</f>
        <v>0</v>
      </c>
      <c r="H81" s="9"/>
      <c r="I81" s="9"/>
      <c r="J81" s="9">
        <f>SUM(Table136[[#This Row],[Actual eBay Sell Price (inc fees)]]-Table136[[#This Row],[Parts]]-Table136[[#This Row],[Cost]]-Table136[[#This Row],[Postage]])</f>
        <v>0</v>
      </c>
    </row>
    <row r="82" spans="1:10" x14ac:dyDescent="0.25">
      <c r="A82" s="8"/>
      <c r="B82" s="12"/>
      <c r="C82" s="2"/>
      <c r="D82" s="2"/>
      <c r="E82" s="2">
        <f>0.09*Table136[[#This Row],[Estimated Sell Price]]</f>
        <v>0</v>
      </c>
      <c r="F82" s="2"/>
      <c r="G82" s="2">
        <f>Table136[[#This Row],[Estimated Sell Price]]-Table136[[#This Row],[eBay Fee (9%)]]-Table136[[#This Row],[Parts]]-Table136[[#This Row],[Cost]]-Table136[[#This Row],[Postage]]</f>
        <v>0</v>
      </c>
      <c r="H82" s="9"/>
      <c r="I82" s="9"/>
      <c r="J82" s="9">
        <f>SUM(Table136[[#This Row],[Actual eBay Sell Price (inc fees)]]-Table136[[#This Row],[Parts]]-Table136[[#This Row],[Cost]]-Table136[[#This Row],[Postage]])</f>
        <v>0</v>
      </c>
    </row>
    <row r="83" spans="1:10" x14ac:dyDescent="0.25">
      <c r="A83" s="8"/>
      <c r="B83" s="12"/>
      <c r="C83" s="2"/>
      <c r="D83" s="2"/>
      <c r="E83" s="2">
        <f>0.09*Table136[[#This Row],[Estimated Sell Price]]</f>
        <v>0</v>
      </c>
      <c r="F83" s="2"/>
      <c r="G83" s="2">
        <f>Table136[[#This Row],[Estimated Sell Price]]-Table136[[#This Row],[eBay Fee (9%)]]-Table136[[#This Row],[Parts]]-Table136[[#This Row],[Cost]]-Table136[[#This Row],[Postage]]</f>
        <v>0</v>
      </c>
      <c r="H83" s="9"/>
      <c r="I83" s="9"/>
      <c r="J83" s="9">
        <f>SUM(Table136[[#This Row],[Actual eBay Sell Price (inc fees)]]-Table136[[#This Row],[Parts]]-Table136[[#This Row],[Cost]]-Table136[[#This Row],[Postage]])</f>
        <v>0</v>
      </c>
    </row>
    <row r="84" spans="1:10" x14ac:dyDescent="0.25">
      <c r="A84" s="8"/>
      <c r="B84" s="12"/>
      <c r="C84" s="2"/>
      <c r="D84" s="2"/>
      <c r="E84" s="2">
        <f>0.09*Table136[[#This Row],[Estimated Sell Price]]</f>
        <v>0</v>
      </c>
      <c r="F84" s="2"/>
      <c r="G84" s="2">
        <f>Table136[[#This Row],[Estimated Sell Price]]-Table136[[#This Row],[eBay Fee (9%)]]-Table136[[#This Row],[Parts]]-Table136[[#This Row],[Cost]]-Table136[[#This Row],[Postage]]</f>
        <v>0</v>
      </c>
      <c r="H84" s="9"/>
      <c r="I84" s="9"/>
      <c r="J84" s="9">
        <f>SUM(Table136[[#This Row],[Actual eBay Sell Price (inc fees)]]-Table136[[#This Row],[Parts]]-Table136[[#This Row],[Cost]]-Table136[[#This Row],[Postage]])</f>
        <v>0</v>
      </c>
    </row>
    <row r="85" spans="1:10" x14ac:dyDescent="0.25">
      <c r="A85" s="8"/>
      <c r="B85" s="12"/>
      <c r="C85" s="2"/>
      <c r="D85" s="2"/>
      <c r="E85" s="2">
        <f>0.09*Table136[[#This Row],[Estimated Sell Price]]</f>
        <v>0</v>
      </c>
      <c r="F85" s="2"/>
      <c r="G85" s="2">
        <f>Table136[[#This Row],[Estimated Sell Price]]-Table136[[#This Row],[eBay Fee (9%)]]-Table136[[#This Row],[Parts]]-Table136[[#This Row],[Cost]]-Table136[[#This Row],[Postage]]</f>
        <v>0</v>
      </c>
      <c r="H85" s="9"/>
      <c r="I85" s="9"/>
      <c r="J85" s="9">
        <f>SUM(Table136[[#This Row],[Actual eBay Sell Price (inc fees)]]-Table136[[#This Row],[Parts]]-Table136[[#This Row],[Cost]]-Table136[[#This Row],[Postage]])</f>
        <v>0</v>
      </c>
    </row>
    <row r="86" spans="1:10" x14ac:dyDescent="0.25">
      <c r="A86" s="8"/>
      <c r="B86" s="12"/>
      <c r="C86" s="2"/>
      <c r="D86" s="2"/>
      <c r="E86" s="2">
        <f>0.09*Table136[[#This Row],[Estimated Sell Price]]</f>
        <v>0</v>
      </c>
      <c r="F86" s="2"/>
      <c r="G86" s="2">
        <f>Table136[[#This Row],[Estimated Sell Price]]-Table136[[#This Row],[eBay Fee (9%)]]-Table136[[#This Row],[Parts]]-Table136[[#This Row],[Cost]]-Table136[[#This Row],[Postage]]</f>
        <v>0</v>
      </c>
      <c r="H86" s="9"/>
      <c r="I86" s="9"/>
      <c r="J86" s="9">
        <f>SUM(Table136[[#This Row],[Actual eBay Sell Price (inc fees)]]-Table136[[#This Row],[Parts]]-Table136[[#This Row],[Cost]]-Table136[[#This Row],[Postage]])</f>
        <v>0</v>
      </c>
    </row>
    <row r="87" spans="1:10" x14ac:dyDescent="0.25">
      <c r="A87" s="8"/>
      <c r="B87" s="12"/>
      <c r="C87" s="2"/>
      <c r="D87" s="2"/>
      <c r="E87" s="2">
        <f>0.09*Table136[[#This Row],[Estimated Sell Price]]</f>
        <v>0</v>
      </c>
      <c r="F87" s="2"/>
      <c r="G87" s="2">
        <f>Table136[[#This Row],[Estimated Sell Price]]-Table136[[#This Row],[eBay Fee (9%)]]-Table136[[#This Row],[Parts]]-Table136[[#This Row],[Cost]]-Table136[[#This Row],[Postage]]</f>
        <v>0</v>
      </c>
      <c r="H87" s="9"/>
      <c r="I87" s="9"/>
      <c r="J87" s="9">
        <f>SUM(Table136[[#This Row],[Actual eBay Sell Price (inc fees)]]-Table136[[#This Row],[Parts]]-Table136[[#This Row],[Cost]]-Table136[[#This Row],[Postage]])</f>
        <v>0</v>
      </c>
    </row>
    <row r="88" spans="1:10" x14ac:dyDescent="0.25">
      <c r="A88" s="8"/>
      <c r="B88" s="12"/>
      <c r="C88" s="2"/>
      <c r="D88" s="2"/>
      <c r="E88" s="2">
        <f>0.09*Table136[[#This Row],[Estimated Sell Price]]</f>
        <v>0</v>
      </c>
      <c r="F88" s="2"/>
      <c r="G88" s="2">
        <f>Table136[[#This Row],[Estimated Sell Price]]-Table136[[#This Row],[eBay Fee (9%)]]-Table136[[#This Row],[Parts]]-Table136[[#This Row],[Cost]]-Table136[[#This Row],[Postage]]</f>
        <v>0</v>
      </c>
      <c r="H88" s="9"/>
      <c r="I88" s="9"/>
      <c r="J88" s="9">
        <f>SUM(Table136[[#This Row],[Actual eBay Sell Price (inc fees)]]-Table136[[#This Row],[Parts]]-Table136[[#This Row],[Cost]]-Table136[[#This Row],[Postage]])</f>
        <v>0</v>
      </c>
    </row>
    <row r="89" spans="1:10" x14ac:dyDescent="0.25">
      <c r="A89" s="8"/>
      <c r="B89" s="12"/>
      <c r="C89" s="2"/>
      <c r="D89" s="2"/>
      <c r="E89" s="2">
        <f>0.09*Table136[[#This Row],[Estimated Sell Price]]</f>
        <v>0</v>
      </c>
      <c r="F89" s="2"/>
      <c r="G89" s="2">
        <f>Table136[[#This Row],[Estimated Sell Price]]-Table136[[#This Row],[eBay Fee (9%)]]-Table136[[#This Row],[Parts]]-Table136[[#This Row],[Cost]]-Table136[[#This Row],[Postage]]</f>
        <v>0</v>
      </c>
      <c r="H89" s="9"/>
      <c r="I89" s="9"/>
      <c r="J89" s="9">
        <f>SUM(Table136[[#This Row],[Actual eBay Sell Price (inc fees)]]-Table136[[#This Row],[Parts]]-Table136[[#This Row],[Cost]]-Table136[[#This Row],[Postage]])</f>
        <v>0</v>
      </c>
    </row>
    <row r="90" spans="1:10" x14ac:dyDescent="0.25">
      <c r="A90" s="8"/>
      <c r="B90" s="12"/>
      <c r="C90" s="2"/>
      <c r="D90" s="2"/>
      <c r="E90" s="2">
        <f>0.09*Table136[[#This Row],[Estimated Sell Price]]</f>
        <v>0</v>
      </c>
      <c r="F90" s="2"/>
      <c r="G90" s="2">
        <f>Table136[[#This Row],[Estimated Sell Price]]-Table136[[#This Row],[eBay Fee (9%)]]-Table136[[#This Row],[Parts]]-Table136[[#This Row],[Cost]]-Table136[[#This Row],[Postage]]</f>
        <v>0</v>
      </c>
      <c r="H90" s="9"/>
      <c r="I90" s="9"/>
      <c r="J90" s="9">
        <f>SUM(Table136[[#This Row],[Actual eBay Sell Price (inc fees)]]-Table136[[#This Row],[Parts]]-Table136[[#This Row],[Cost]]-Table136[[#This Row],[Postage]])</f>
        <v>0</v>
      </c>
    </row>
    <row r="91" spans="1:10" x14ac:dyDescent="0.25">
      <c r="A91" s="8"/>
      <c r="B91" s="12"/>
      <c r="C91" s="2"/>
      <c r="D91" s="2"/>
      <c r="E91" s="2">
        <f>0.09*Table136[[#This Row],[Estimated Sell Price]]</f>
        <v>0</v>
      </c>
      <c r="F91" s="2"/>
      <c r="G91" s="2">
        <f>Table136[[#This Row],[Estimated Sell Price]]-Table136[[#This Row],[eBay Fee (9%)]]-Table136[[#This Row],[Parts]]-Table136[[#This Row],[Cost]]-Table136[[#This Row],[Postage]]</f>
        <v>0</v>
      </c>
      <c r="H91" s="9"/>
      <c r="I91" s="9"/>
      <c r="J91" s="9">
        <f>SUM(Table136[[#This Row],[Actual eBay Sell Price (inc fees)]]-Table136[[#This Row],[Parts]]-Table136[[#This Row],[Cost]]-Table136[[#This Row],[Postage]])</f>
        <v>0</v>
      </c>
    </row>
    <row r="92" spans="1:10" x14ac:dyDescent="0.25">
      <c r="A92" s="8"/>
      <c r="B92" s="12"/>
      <c r="C92" s="2"/>
      <c r="D92" s="2"/>
      <c r="E92" s="2">
        <f>0.09*Table136[[#This Row],[Estimated Sell Price]]</f>
        <v>0</v>
      </c>
      <c r="F92" s="2"/>
      <c r="G92" s="2">
        <f>Table136[[#This Row],[Estimated Sell Price]]-Table136[[#This Row],[eBay Fee (9%)]]-Table136[[#This Row],[Parts]]-Table136[[#This Row],[Cost]]-Table136[[#This Row],[Postage]]</f>
        <v>0</v>
      </c>
      <c r="H92" s="9"/>
      <c r="I92" s="9"/>
      <c r="J92" s="9">
        <f>SUM(Table136[[#This Row],[Actual eBay Sell Price (inc fees)]]-Table136[[#This Row],[Parts]]-Table136[[#This Row],[Cost]]-Table136[[#This Row],[Postage]])</f>
        <v>0</v>
      </c>
    </row>
    <row r="93" spans="1:10" x14ac:dyDescent="0.25">
      <c r="A93" s="8"/>
      <c r="B93" s="12"/>
      <c r="C93" s="2"/>
      <c r="D93" s="2"/>
      <c r="E93" s="2">
        <f>0.09*Table136[[#This Row],[Estimated Sell Price]]</f>
        <v>0</v>
      </c>
      <c r="F93" s="2"/>
      <c r="G93" s="2">
        <f>Table136[[#This Row],[Estimated Sell Price]]-Table136[[#This Row],[eBay Fee (9%)]]-Table136[[#This Row],[Parts]]-Table136[[#This Row],[Cost]]-Table136[[#This Row],[Postage]]</f>
        <v>0</v>
      </c>
      <c r="H93" s="9"/>
      <c r="I93" s="9"/>
      <c r="J93" s="9">
        <f>SUM(Table136[[#This Row],[Actual eBay Sell Price (inc fees)]]-Table136[[#This Row],[Parts]]-Table136[[#This Row],[Cost]]-Table136[[#This Row],[Postage]])</f>
        <v>0</v>
      </c>
    </row>
    <row r="94" spans="1:10" x14ac:dyDescent="0.25">
      <c r="A94" s="8"/>
      <c r="B94" s="12"/>
      <c r="C94" s="2"/>
      <c r="D94" s="2"/>
      <c r="E94" s="2">
        <f>0.09*Table136[[#This Row],[Estimated Sell Price]]</f>
        <v>0</v>
      </c>
      <c r="F94" s="2"/>
      <c r="G94" s="2">
        <f>Table136[[#This Row],[Estimated Sell Price]]-Table136[[#This Row],[eBay Fee (9%)]]-Table136[[#This Row],[Parts]]-Table136[[#This Row],[Cost]]-Table136[[#This Row],[Postage]]</f>
        <v>0</v>
      </c>
      <c r="H94" s="9"/>
      <c r="I94" s="9"/>
      <c r="J94" s="9">
        <f>SUM(Table136[[#This Row],[Actual eBay Sell Price (inc fees)]]-Table136[[#This Row],[Parts]]-Table136[[#This Row],[Cost]]-Table136[[#This Row],[Postage]])</f>
        <v>0</v>
      </c>
    </row>
    <row r="95" spans="1:10" x14ac:dyDescent="0.25">
      <c r="A95" s="8"/>
      <c r="B95" s="12"/>
      <c r="C95" s="2"/>
      <c r="D95" s="2"/>
      <c r="E95" s="2">
        <f>0.09*Table136[[#This Row],[Estimated Sell Price]]</f>
        <v>0</v>
      </c>
      <c r="F95" s="2"/>
      <c r="G95" s="2">
        <f>Table136[[#This Row],[Estimated Sell Price]]-Table136[[#This Row],[eBay Fee (9%)]]-Table136[[#This Row],[Parts]]-Table136[[#This Row],[Cost]]-Table136[[#This Row],[Postage]]</f>
        <v>0</v>
      </c>
      <c r="H95" s="9"/>
      <c r="I95" s="9"/>
      <c r="J95" s="9">
        <f>SUM(Table136[[#This Row],[Actual eBay Sell Price (inc fees)]]-Table136[[#This Row],[Parts]]-Table136[[#This Row],[Cost]]-Table136[[#This Row],[Postage]])</f>
        <v>0</v>
      </c>
    </row>
    <row r="96" spans="1:10" x14ac:dyDescent="0.25">
      <c r="A96" s="8"/>
      <c r="B96" s="12"/>
      <c r="C96" s="2"/>
      <c r="D96" s="2"/>
      <c r="E96" s="2">
        <f>0.09*Table136[[#This Row],[Estimated Sell Price]]</f>
        <v>0</v>
      </c>
      <c r="F96" s="2"/>
      <c r="G96" s="2">
        <f>Table136[[#This Row],[Estimated Sell Price]]-Table136[[#This Row],[eBay Fee (9%)]]-Table136[[#This Row],[Parts]]-Table136[[#This Row],[Cost]]-Table136[[#This Row],[Postage]]</f>
        <v>0</v>
      </c>
      <c r="H96" s="9"/>
      <c r="I96" s="9"/>
      <c r="J96" s="9">
        <f>SUM(Table136[[#This Row],[Actual eBay Sell Price (inc fees)]]-Table136[[#This Row],[Parts]]-Table136[[#This Row],[Cost]]-Table136[[#This Row],[Postage]])</f>
        <v>0</v>
      </c>
    </row>
    <row r="97" spans="1:10" x14ac:dyDescent="0.25">
      <c r="A97" s="8"/>
      <c r="B97" s="12"/>
      <c r="C97" s="2"/>
      <c r="D97" s="2"/>
      <c r="E97" s="2">
        <f>0.09*Table136[[#This Row],[Estimated Sell Price]]</f>
        <v>0</v>
      </c>
      <c r="F97" s="2"/>
      <c r="G97" s="2">
        <f>Table136[[#This Row],[Estimated Sell Price]]-Table136[[#This Row],[eBay Fee (9%)]]-Table136[[#This Row],[Parts]]-Table136[[#This Row],[Cost]]-Table136[[#This Row],[Postage]]</f>
        <v>0</v>
      </c>
      <c r="H97" s="9"/>
      <c r="I97" s="9"/>
      <c r="J97" s="9">
        <f>SUM(Table136[[#This Row],[Actual eBay Sell Price (inc fees)]]-Table136[[#This Row],[Parts]]-Table136[[#This Row],[Cost]]-Table136[[#This Row],[Postage]])</f>
        <v>0</v>
      </c>
    </row>
    <row r="98" spans="1:10" x14ac:dyDescent="0.25">
      <c r="A98" s="8"/>
      <c r="B98" s="12"/>
      <c r="C98" s="2"/>
      <c r="D98" s="2"/>
      <c r="E98" s="2">
        <f>0.09*Table136[[#This Row],[Estimated Sell Price]]</f>
        <v>0</v>
      </c>
      <c r="F98" s="2"/>
      <c r="G98" s="2">
        <f>Table136[[#This Row],[Estimated Sell Price]]-Table136[[#This Row],[eBay Fee (9%)]]-Table136[[#This Row],[Parts]]-Table136[[#This Row],[Cost]]-Table136[[#This Row],[Postage]]</f>
        <v>0</v>
      </c>
      <c r="H98" s="9"/>
      <c r="I98" s="9"/>
      <c r="J98" s="9">
        <f>SUM(Table136[[#This Row],[Actual eBay Sell Price (inc fees)]]-Table136[[#This Row],[Parts]]-Table136[[#This Row],[Cost]]-Table136[[#This Row],[Postage]])</f>
        <v>0</v>
      </c>
    </row>
    <row r="99" spans="1:10" x14ac:dyDescent="0.25">
      <c r="A99" s="8"/>
      <c r="B99" s="12"/>
      <c r="C99" s="2"/>
      <c r="D99" s="2"/>
      <c r="E99" s="2">
        <f>0.09*Table136[[#This Row],[Estimated Sell Price]]</f>
        <v>0</v>
      </c>
      <c r="F99" s="2"/>
      <c r="G99" s="2">
        <f>Table136[[#This Row],[Estimated Sell Price]]-Table136[[#This Row],[eBay Fee (9%)]]-Table136[[#This Row],[Parts]]-Table136[[#This Row],[Cost]]-Table136[[#This Row],[Postage]]</f>
        <v>0</v>
      </c>
      <c r="H99" s="9"/>
      <c r="I99" s="9"/>
      <c r="J99" s="9">
        <f>SUM(Table136[[#This Row],[Actual eBay Sell Price (inc fees)]]-Table136[[#This Row],[Parts]]-Table136[[#This Row],[Cost]]-Table136[[#This Row],[Postage]])</f>
        <v>0</v>
      </c>
    </row>
    <row r="100" spans="1:10" x14ac:dyDescent="0.25">
      <c r="A100" s="8"/>
      <c r="B100" s="12"/>
      <c r="C100" s="2"/>
      <c r="D100" s="2"/>
      <c r="E100" s="2">
        <f>0.09*Table136[[#This Row],[Estimated Sell Price]]</f>
        <v>0</v>
      </c>
      <c r="F100" s="2"/>
      <c r="G100" s="2">
        <f>Table136[[#This Row],[Estimated Sell Price]]-Table136[[#This Row],[eBay Fee (9%)]]-Table136[[#This Row],[Parts]]-Table136[[#This Row],[Cost]]-Table136[[#This Row],[Postage]]</f>
        <v>0</v>
      </c>
      <c r="H100" s="9"/>
      <c r="I100" s="9"/>
      <c r="J100" s="9">
        <f>SUM(Table136[[#This Row],[Actual eBay Sell Price (inc fees)]]-Table136[[#This Row],[Parts]]-Table136[[#This Row],[Cost]]-Table136[[#This Row],[Postage]])</f>
        <v>0</v>
      </c>
    </row>
    <row r="101" spans="1:10" x14ac:dyDescent="0.25">
      <c r="A101" s="8"/>
      <c r="B101" s="12"/>
      <c r="C101" s="2"/>
      <c r="D101" s="2"/>
      <c r="E101" s="2">
        <f>0.09*Table136[[#This Row],[Estimated Sell Price]]</f>
        <v>0</v>
      </c>
      <c r="F101" s="2"/>
      <c r="G101" s="2">
        <f>Table136[[#This Row],[Estimated Sell Price]]-Table136[[#This Row],[eBay Fee (9%)]]-Table136[[#This Row],[Parts]]-Table136[[#This Row],[Cost]]-Table136[[#This Row],[Postage]]</f>
        <v>0</v>
      </c>
      <c r="H101" s="9"/>
      <c r="I101" s="9"/>
      <c r="J101" s="9">
        <f>SUM(Table136[[#This Row],[Actual eBay Sell Price (inc fees)]]-Table136[[#This Row],[Parts]]-Table136[[#This Row],[Cost]]-Table136[[#This Row],[Postage]])</f>
        <v>0</v>
      </c>
    </row>
    <row r="102" spans="1:10" x14ac:dyDescent="0.25">
      <c r="A102" s="8"/>
      <c r="B102" s="12"/>
      <c r="C102" s="2"/>
      <c r="D102" s="2"/>
      <c r="E102" s="2">
        <f>0.09*Table136[[#This Row],[Estimated Sell Price]]</f>
        <v>0</v>
      </c>
      <c r="F102" s="2"/>
      <c r="G102" s="2">
        <f>Table136[[#This Row],[Estimated Sell Price]]-Table136[[#This Row],[eBay Fee (9%)]]-Table136[[#This Row],[Parts]]-Table136[[#This Row],[Cost]]-Table136[[#This Row],[Postage]]</f>
        <v>0</v>
      </c>
      <c r="H102" s="9"/>
      <c r="I102" s="9"/>
      <c r="J102" s="9">
        <f>SUM(Table136[[#This Row],[Actual eBay Sell Price (inc fees)]]-Table136[[#This Row],[Parts]]-Table136[[#This Row],[Cost]]-Table136[[#This Row],[Postage]])</f>
        <v>0</v>
      </c>
    </row>
    <row r="103" spans="1:10" x14ac:dyDescent="0.25">
      <c r="A103" s="8"/>
      <c r="B103" s="12"/>
      <c r="C103" s="2"/>
      <c r="D103" s="2"/>
      <c r="E103" s="2">
        <f>0.09*Table136[[#This Row],[Estimated Sell Price]]</f>
        <v>0</v>
      </c>
      <c r="F103" s="2"/>
      <c r="G103" s="2">
        <f>Table136[[#This Row],[Estimated Sell Price]]-Table136[[#This Row],[eBay Fee (9%)]]-Table136[[#This Row],[Parts]]-Table136[[#This Row],[Cost]]-Table136[[#This Row],[Postage]]</f>
        <v>0</v>
      </c>
      <c r="H103" s="9"/>
      <c r="I103" s="9"/>
      <c r="J103" s="9">
        <f>SUM(Table136[[#This Row],[Actual eBay Sell Price (inc fees)]]-Table136[[#This Row],[Parts]]-Table136[[#This Row],[Cost]]-Table136[[#This Row],[Postage]])</f>
        <v>0</v>
      </c>
    </row>
    <row r="104" spans="1:10" x14ac:dyDescent="0.25">
      <c r="A104" s="8"/>
      <c r="B104" s="12"/>
      <c r="C104" s="2"/>
      <c r="D104" s="2"/>
      <c r="E104" s="2">
        <f>0.09*Table136[[#This Row],[Estimated Sell Price]]</f>
        <v>0</v>
      </c>
      <c r="F104" s="2"/>
      <c r="G104" s="2">
        <f>Table136[[#This Row],[Estimated Sell Price]]-Table136[[#This Row],[eBay Fee (9%)]]-Table136[[#This Row],[Parts]]-Table136[[#This Row],[Cost]]-Table136[[#This Row],[Postage]]</f>
        <v>0</v>
      </c>
      <c r="H104" s="9"/>
      <c r="I104" s="9"/>
      <c r="J104" s="9">
        <f>SUM(Table136[[#This Row],[Actual eBay Sell Price (inc fees)]]-Table136[[#This Row],[Parts]]-Table136[[#This Row],[Cost]]-Table136[[#This Row],[Postage]])</f>
        <v>0</v>
      </c>
    </row>
    <row r="105" spans="1:10" x14ac:dyDescent="0.25">
      <c r="A105" s="8"/>
      <c r="B105" s="12"/>
      <c r="C105" s="2"/>
      <c r="D105" s="2"/>
      <c r="E105" s="2">
        <f>0.09*Table136[[#This Row],[Estimated Sell Price]]</f>
        <v>0</v>
      </c>
      <c r="F105" s="2"/>
      <c r="G105" s="2">
        <f>Table136[[#This Row],[Estimated Sell Price]]-Table136[[#This Row],[eBay Fee (9%)]]-Table136[[#This Row],[Parts]]-Table136[[#This Row],[Cost]]-Table136[[#This Row],[Postage]]</f>
        <v>0</v>
      </c>
      <c r="H105" s="9"/>
      <c r="I105" s="9"/>
      <c r="J105" s="9">
        <f>SUM(Table136[[#This Row],[Actual eBay Sell Price (inc fees)]]-Table136[[#This Row],[Parts]]-Table136[[#This Row],[Cost]]-Table136[[#This Row],[Postage]])</f>
        <v>0</v>
      </c>
    </row>
    <row r="106" spans="1:10" x14ac:dyDescent="0.25">
      <c r="A106" s="8"/>
      <c r="B106" s="12"/>
      <c r="C106" s="2"/>
      <c r="D106" s="2"/>
      <c r="E106" s="2">
        <f>0.09*Table136[[#This Row],[Estimated Sell Price]]</f>
        <v>0</v>
      </c>
      <c r="F106" s="2"/>
      <c r="G106" s="2">
        <f>Table136[[#This Row],[Estimated Sell Price]]-Table136[[#This Row],[eBay Fee (9%)]]-Table136[[#This Row],[Parts]]-Table136[[#This Row],[Cost]]-Table136[[#This Row],[Postage]]</f>
        <v>0</v>
      </c>
      <c r="H106" s="9"/>
      <c r="I106" s="9"/>
      <c r="J106" s="9">
        <f>SUM(Table136[[#This Row],[Actual eBay Sell Price (inc fees)]]-Table136[[#This Row],[Parts]]-Table136[[#This Row],[Cost]]-Table136[[#This Row],[Postage]])</f>
        <v>0</v>
      </c>
    </row>
    <row r="107" spans="1:10" x14ac:dyDescent="0.25">
      <c r="A107" s="8"/>
      <c r="B107" s="12"/>
      <c r="C107" s="2"/>
      <c r="D107" s="2"/>
      <c r="E107" s="2">
        <f>0.09*Table136[[#This Row],[Estimated Sell Price]]</f>
        <v>0</v>
      </c>
      <c r="F107" s="2"/>
      <c r="G107" s="2">
        <f>Table136[[#This Row],[Estimated Sell Price]]-Table136[[#This Row],[eBay Fee (9%)]]-Table136[[#This Row],[Parts]]-Table136[[#This Row],[Cost]]-Table136[[#This Row],[Postage]]</f>
        <v>0</v>
      </c>
      <c r="H107" s="9"/>
      <c r="I107" s="9"/>
      <c r="J107" s="9">
        <f>SUM(Table136[[#This Row],[Actual eBay Sell Price (inc fees)]]-Table136[[#This Row],[Parts]]-Table136[[#This Row],[Cost]]-Table136[[#This Row],[Postage]])</f>
        <v>0</v>
      </c>
    </row>
    <row r="108" spans="1:10" x14ac:dyDescent="0.25">
      <c r="A108" s="8"/>
      <c r="B108" s="12"/>
      <c r="C108" s="2"/>
      <c r="D108" s="2"/>
      <c r="E108" s="2">
        <f>0.09*Table136[[#This Row],[Estimated Sell Price]]</f>
        <v>0</v>
      </c>
      <c r="F108" s="2"/>
      <c r="G108" s="2">
        <f>Table136[[#This Row],[Estimated Sell Price]]-Table136[[#This Row],[eBay Fee (9%)]]-Table136[[#This Row],[Parts]]-Table136[[#This Row],[Cost]]-Table136[[#This Row],[Postage]]</f>
        <v>0</v>
      </c>
      <c r="H108" s="9"/>
      <c r="I108" s="9"/>
      <c r="J108" s="9">
        <f>SUM(Table136[[#This Row],[Actual eBay Sell Price (inc fees)]]-Table136[[#This Row],[Parts]]-Table136[[#This Row],[Cost]]-Table136[[#This Row],[Postage]])</f>
        <v>0</v>
      </c>
    </row>
    <row r="109" spans="1:10" x14ac:dyDescent="0.25">
      <c r="A109" s="8"/>
      <c r="B109" s="12"/>
      <c r="C109" s="2"/>
      <c r="D109" s="2"/>
      <c r="E109" s="2">
        <f>0.09*Table136[[#This Row],[Estimated Sell Price]]</f>
        <v>0</v>
      </c>
      <c r="F109" s="2"/>
      <c r="G109" s="2">
        <f>Table136[[#This Row],[Estimated Sell Price]]-Table136[[#This Row],[eBay Fee (9%)]]-Table136[[#This Row],[Parts]]-Table136[[#This Row],[Cost]]-Table136[[#This Row],[Postage]]</f>
        <v>0</v>
      </c>
      <c r="H109" s="9"/>
      <c r="I109" s="9"/>
      <c r="J109" s="9">
        <f>SUM(Table136[[#This Row],[Actual eBay Sell Price (inc fees)]]-Table136[[#This Row],[Parts]]-Table136[[#This Row],[Cost]]-Table136[[#This Row],[Postage]])</f>
        <v>0</v>
      </c>
    </row>
    <row r="110" spans="1:10" x14ac:dyDescent="0.25">
      <c r="A110" s="8"/>
      <c r="B110" s="12"/>
      <c r="C110" s="2"/>
      <c r="D110" s="2"/>
      <c r="E110" s="2">
        <f>0.09*Table136[[#This Row],[Estimated Sell Price]]</f>
        <v>0</v>
      </c>
      <c r="F110" s="2"/>
      <c r="G110" s="2">
        <f>Table136[[#This Row],[Estimated Sell Price]]-Table136[[#This Row],[eBay Fee (9%)]]-Table136[[#This Row],[Parts]]-Table136[[#This Row],[Cost]]-Table136[[#This Row],[Postage]]</f>
        <v>0</v>
      </c>
      <c r="H110" s="9"/>
      <c r="I110" s="9"/>
      <c r="J110" s="9">
        <f>SUM(Table136[[#This Row],[Actual eBay Sell Price (inc fees)]]-Table136[[#This Row],[Parts]]-Table136[[#This Row],[Cost]]-Table136[[#This Row],[Postage]])</f>
        <v>0</v>
      </c>
    </row>
    <row r="111" spans="1:10" x14ac:dyDescent="0.25">
      <c r="A111" s="8"/>
      <c r="B111" s="12"/>
      <c r="C111" s="2"/>
      <c r="D111" s="2"/>
      <c r="E111" s="2">
        <f>0.09*Table136[[#This Row],[Estimated Sell Price]]</f>
        <v>0</v>
      </c>
      <c r="F111" s="2"/>
      <c r="G111" s="2">
        <f>Table136[[#This Row],[Estimated Sell Price]]-Table136[[#This Row],[eBay Fee (9%)]]-Table136[[#This Row],[Parts]]-Table136[[#This Row],[Cost]]-Table136[[#This Row],[Postage]]</f>
        <v>0</v>
      </c>
      <c r="H111" s="9"/>
      <c r="I111" s="9"/>
      <c r="J111" s="9">
        <f>SUM(Table136[[#This Row],[Actual eBay Sell Price (inc fees)]]-Table136[[#This Row],[Parts]]-Table136[[#This Row],[Cost]]-Table136[[#This Row],[Postage]])</f>
        <v>0</v>
      </c>
    </row>
    <row r="112" spans="1:10" x14ac:dyDescent="0.25">
      <c r="A112" s="8"/>
      <c r="B112" s="12"/>
      <c r="C112" s="2"/>
      <c r="D112" s="2"/>
      <c r="E112" s="2">
        <f>0.09*Table136[[#This Row],[Estimated Sell Price]]</f>
        <v>0</v>
      </c>
      <c r="F112" s="2"/>
      <c r="G112" s="2">
        <f>Table136[[#This Row],[Estimated Sell Price]]-Table136[[#This Row],[eBay Fee (9%)]]-Table136[[#This Row],[Parts]]-Table136[[#This Row],[Cost]]-Table136[[#This Row],[Postage]]</f>
        <v>0</v>
      </c>
      <c r="H112" s="9"/>
      <c r="I112" s="9"/>
      <c r="J112" s="9">
        <f>SUM(Table136[[#This Row],[Actual eBay Sell Price (inc fees)]]-Table136[[#This Row],[Parts]]-Table136[[#This Row],[Cost]]-Table136[[#This Row],[Postage]])</f>
        <v>0</v>
      </c>
    </row>
    <row r="113" spans="1:10" x14ac:dyDescent="0.25">
      <c r="A113" s="8"/>
      <c r="B113" s="12"/>
      <c r="C113" s="2"/>
      <c r="D113" s="2"/>
      <c r="E113" s="2">
        <f>0.09*Table136[[#This Row],[Estimated Sell Price]]</f>
        <v>0</v>
      </c>
      <c r="F113" s="2"/>
      <c r="G113" s="2">
        <f>Table136[[#This Row],[Estimated Sell Price]]-Table136[[#This Row],[eBay Fee (9%)]]-Table136[[#This Row],[Parts]]-Table136[[#This Row],[Cost]]-Table136[[#This Row],[Postage]]</f>
        <v>0</v>
      </c>
      <c r="H113" s="9"/>
      <c r="I113" s="9"/>
      <c r="J113" s="9">
        <f>SUM(Table136[[#This Row],[Actual eBay Sell Price (inc fees)]]-Table136[[#This Row],[Parts]]-Table136[[#This Row],[Cost]]-Table136[[#This Row],[Postage]])</f>
        <v>0</v>
      </c>
    </row>
    <row r="114" spans="1:10" x14ac:dyDescent="0.25">
      <c r="A114" s="8"/>
      <c r="B114" s="12"/>
      <c r="C114" s="2"/>
      <c r="D114" s="2"/>
      <c r="E114" s="2">
        <f>0.09*Table136[[#This Row],[Estimated Sell Price]]</f>
        <v>0</v>
      </c>
      <c r="F114" s="2"/>
      <c r="G114" s="2">
        <f>Table136[[#This Row],[Estimated Sell Price]]-Table136[[#This Row],[eBay Fee (9%)]]-Table136[[#This Row],[Parts]]-Table136[[#This Row],[Cost]]-Table136[[#This Row],[Postage]]</f>
        <v>0</v>
      </c>
      <c r="H114" s="9"/>
      <c r="I114" s="9"/>
      <c r="J114" s="9">
        <f>SUM(Table136[[#This Row],[Actual eBay Sell Price (inc fees)]]-Table136[[#This Row],[Parts]]-Table136[[#This Row],[Cost]]-Table136[[#This Row],[Postage]])</f>
        <v>0</v>
      </c>
    </row>
    <row r="115" spans="1:10" x14ac:dyDescent="0.25">
      <c r="A115" s="8"/>
      <c r="B115" s="12"/>
      <c r="C115" s="2"/>
      <c r="D115" s="2"/>
      <c r="E115" s="2">
        <f>0.09*Table136[[#This Row],[Estimated Sell Price]]</f>
        <v>0</v>
      </c>
      <c r="F115" s="2"/>
      <c r="G115" s="2">
        <f>Table136[[#This Row],[Estimated Sell Price]]-Table136[[#This Row],[eBay Fee (9%)]]-Table136[[#This Row],[Parts]]-Table136[[#This Row],[Cost]]-Table136[[#This Row],[Postage]]</f>
        <v>0</v>
      </c>
      <c r="H115" s="9"/>
      <c r="I115" s="9"/>
      <c r="J115" s="9">
        <f>SUM(Table136[[#This Row],[Actual eBay Sell Price (inc fees)]]-Table136[[#This Row],[Parts]]-Table136[[#This Row],[Cost]]-Table136[[#This Row],[Postage]])</f>
        <v>0</v>
      </c>
    </row>
    <row r="116" spans="1:10" x14ac:dyDescent="0.25">
      <c r="A116" s="8"/>
      <c r="B116" s="12"/>
      <c r="C116" s="2"/>
      <c r="D116" s="2"/>
      <c r="E116" s="2">
        <f>0.09*Table136[[#This Row],[Estimated Sell Price]]</f>
        <v>0</v>
      </c>
      <c r="F116" s="2"/>
      <c r="G116" s="2">
        <f>Table136[[#This Row],[Estimated Sell Price]]-Table136[[#This Row],[eBay Fee (9%)]]-Table136[[#This Row],[Parts]]-Table136[[#This Row],[Cost]]-Table136[[#This Row],[Postage]]</f>
        <v>0</v>
      </c>
      <c r="H116" s="9"/>
      <c r="I116" s="9"/>
      <c r="J116" s="9">
        <f>SUM(Table136[[#This Row],[Actual eBay Sell Price (inc fees)]]-Table136[[#This Row],[Parts]]-Table136[[#This Row],[Cost]]-Table136[[#This Row],[Postage]])</f>
        <v>0</v>
      </c>
    </row>
    <row r="117" spans="1:10" x14ac:dyDescent="0.25">
      <c r="A117" s="8"/>
      <c r="B117" s="12"/>
      <c r="C117" s="2"/>
      <c r="D117" s="2"/>
      <c r="E117" s="2">
        <f>0.09*Table136[[#This Row],[Estimated Sell Price]]</f>
        <v>0</v>
      </c>
      <c r="F117" s="2"/>
      <c r="G117" s="2">
        <f>Table136[[#This Row],[Estimated Sell Price]]-Table136[[#This Row],[eBay Fee (9%)]]-Table136[[#This Row],[Parts]]-Table136[[#This Row],[Cost]]-Table136[[#This Row],[Postage]]</f>
        <v>0</v>
      </c>
      <c r="H117" s="9"/>
      <c r="I117" s="9"/>
      <c r="J117" s="9">
        <f>SUM(Table136[[#This Row],[Actual eBay Sell Price (inc fees)]]-Table136[[#This Row],[Parts]]-Table136[[#This Row],[Cost]]-Table136[[#This Row],[Postage]])</f>
        <v>0</v>
      </c>
    </row>
    <row r="118" spans="1:10" x14ac:dyDescent="0.25">
      <c r="A118" s="8"/>
      <c r="B118" s="12"/>
      <c r="C118" s="2"/>
      <c r="D118" s="2"/>
      <c r="E118" s="2">
        <f>0.09*Table136[[#This Row],[Estimated Sell Price]]</f>
        <v>0</v>
      </c>
      <c r="F118" s="2"/>
      <c r="G118" s="2">
        <f>Table136[[#This Row],[Estimated Sell Price]]-Table136[[#This Row],[eBay Fee (9%)]]-Table136[[#This Row],[Parts]]-Table136[[#This Row],[Cost]]-Table136[[#This Row],[Postage]]</f>
        <v>0</v>
      </c>
      <c r="H118" s="9"/>
      <c r="I118" s="9"/>
      <c r="J118" s="9">
        <f>SUM(Table136[[#This Row],[Actual eBay Sell Price (inc fees)]]-Table136[[#This Row],[Parts]]-Table136[[#This Row],[Cost]]-Table136[[#This Row],[Postage]])</f>
        <v>0</v>
      </c>
    </row>
    <row r="119" spans="1:10" x14ac:dyDescent="0.25">
      <c r="A119" s="8"/>
      <c r="B119" s="12"/>
      <c r="C119" s="2"/>
      <c r="D119" s="2"/>
      <c r="E119" s="2">
        <f>0.09*Table136[[#This Row],[Estimated Sell Price]]</f>
        <v>0</v>
      </c>
      <c r="F119" s="2"/>
      <c r="G119" s="2">
        <f>Table136[[#This Row],[Estimated Sell Price]]-Table136[[#This Row],[eBay Fee (9%)]]-Table136[[#This Row],[Parts]]-Table136[[#This Row],[Cost]]-Table136[[#This Row],[Postage]]</f>
        <v>0</v>
      </c>
      <c r="H119" s="9"/>
      <c r="I119" s="9"/>
      <c r="J119" s="9">
        <f>SUM(Table136[[#This Row],[Actual eBay Sell Price (inc fees)]]-Table136[[#This Row],[Parts]]-Table136[[#This Row],[Cost]]-Table136[[#This Row],[Postage]])</f>
        <v>0</v>
      </c>
    </row>
    <row r="120" spans="1:10" x14ac:dyDescent="0.25">
      <c r="A120" s="8"/>
      <c r="B120" s="12"/>
      <c r="C120" s="2"/>
      <c r="D120" s="2"/>
      <c r="E120" s="2">
        <f>0.09*Table136[[#This Row],[Estimated Sell Price]]</f>
        <v>0</v>
      </c>
      <c r="F120" s="2"/>
      <c r="G120" s="2">
        <f>Table136[[#This Row],[Estimated Sell Price]]-Table136[[#This Row],[eBay Fee (9%)]]-Table136[[#This Row],[Parts]]-Table136[[#This Row],[Cost]]-Table136[[#This Row],[Postage]]</f>
        <v>0</v>
      </c>
      <c r="H120" s="9"/>
      <c r="I120" s="9"/>
      <c r="J120" s="9">
        <f>SUM(Table136[[#This Row],[Actual eBay Sell Price (inc fees)]]-Table136[[#This Row],[Parts]]-Table136[[#This Row],[Cost]]-Table136[[#This Row],[Postage]])</f>
        <v>0</v>
      </c>
    </row>
    <row r="121" spans="1:10" x14ac:dyDescent="0.25">
      <c r="A121" s="8"/>
      <c r="B121" s="12"/>
      <c r="C121" s="2"/>
      <c r="D121" s="2"/>
      <c r="E121" s="2">
        <f>0.09*Table136[[#This Row],[Estimated Sell Price]]</f>
        <v>0</v>
      </c>
      <c r="F121" s="2"/>
      <c r="G121" s="2">
        <f>Table136[[#This Row],[Estimated Sell Price]]-Table136[[#This Row],[eBay Fee (9%)]]-Table136[[#This Row],[Parts]]-Table136[[#This Row],[Cost]]-Table136[[#This Row],[Postage]]</f>
        <v>0</v>
      </c>
      <c r="H121" s="9"/>
      <c r="I121" s="9"/>
      <c r="J121" s="9">
        <f>SUM(Table136[[#This Row],[Actual eBay Sell Price (inc fees)]]-Table136[[#This Row],[Parts]]-Table136[[#This Row],[Cost]]-Table136[[#This Row],[Postage]])</f>
        <v>0</v>
      </c>
    </row>
    <row r="122" spans="1:10" x14ac:dyDescent="0.25">
      <c r="A122" s="8"/>
      <c r="B122" s="12"/>
      <c r="C122" s="2"/>
      <c r="D122" s="2"/>
      <c r="E122" s="2">
        <f>0.09*Table136[[#This Row],[Estimated Sell Price]]</f>
        <v>0</v>
      </c>
      <c r="F122" s="2"/>
      <c r="G122" s="2">
        <f>Table136[[#This Row],[Estimated Sell Price]]-Table136[[#This Row],[eBay Fee (9%)]]-Table136[[#This Row],[Parts]]-Table136[[#This Row],[Cost]]-Table136[[#This Row],[Postage]]</f>
        <v>0</v>
      </c>
      <c r="H122" s="9"/>
      <c r="I122" s="9"/>
      <c r="J122" s="9">
        <f>SUM(Table136[[#This Row],[Actual eBay Sell Price (inc fees)]]-Table136[[#This Row],[Parts]]-Table136[[#This Row],[Cost]]-Table136[[#This Row],[Postage]])</f>
        <v>0</v>
      </c>
    </row>
    <row r="123" spans="1:10" x14ac:dyDescent="0.25">
      <c r="A123" s="8"/>
      <c r="B123" s="12"/>
      <c r="C123" s="2"/>
      <c r="D123" s="2"/>
      <c r="E123" s="2">
        <f>0.09*Table136[[#This Row],[Estimated Sell Price]]</f>
        <v>0</v>
      </c>
      <c r="F123" s="2"/>
      <c r="G123" s="2">
        <f>Table136[[#This Row],[Estimated Sell Price]]-Table136[[#This Row],[eBay Fee (9%)]]-Table136[[#This Row],[Parts]]-Table136[[#This Row],[Cost]]-Table136[[#This Row],[Postage]]</f>
        <v>0</v>
      </c>
      <c r="H123" s="9"/>
      <c r="I123" s="9"/>
      <c r="J123" s="9">
        <f>SUM(Table136[[#This Row],[Actual eBay Sell Price (inc fees)]]-Table136[[#This Row],[Parts]]-Table136[[#This Row],[Cost]]-Table136[[#This Row],[Postage]])</f>
        <v>0</v>
      </c>
    </row>
    <row r="124" spans="1:10" x14ac:dyDescent="0.25">
      <c r="A124" s="8"/>
      <c r="B124" s="12"/>
      <c r="C124" s="2"/>
      <c r="D124" s="2"/>
      <c r="E124" s="2">
        <f>0.09*Table136[[#This Row],[Estimated Sell Price]]</f>
        <v>0</v>
      </c>
      <c r="F124" s="2"/>
      <c r="G124" s="2">
        <f>Table136[[#This Row],[Estimated Sell Price]]-Table136[[#This Row],[eBay Fee (9%)]]-Table136[[#This Row],[Parts]]-Table136[[#This Row],[Cost]]-Table136[[#This Row],[Postage]]</f>
        <v>0</v>
      </c>
      <c r="H124" s="9"/>
      <c r="I124" s="9"/>
      <c r="J124" s="9">
        <f>SUM(Table136[[#This Row],[Actual eBay Sell Price (inc fees)]]-Table136[[#This Row],[Parts]]-Table136[[#This Row],[Cost]]-Table136[[#This Row],[Postage]])</f>
        <v>0</v>
      </c>
    </row>
    <row r="125" spans="1:10" x14ac:dyDescent="0.25">
      <c r="A125" s="8"/>
      <c r="B125" s="12"/>
      <c r="C125" s="2"/>
      <c r="D125" s="2"/>
      <c r="E125" s="2">
        <f>0.09*Table136[[#This Row],[Estimated Sell Price]]</f>
        <v>0</v>
      </c>
      <c r="F125" s="2"/>
      <c r="G125" s="2">
        <f>Table136[[#This Row],[Estimated Sell Price]]-Table136[[#This Row],[eBay Fee (9%)]]-Table136[[#This Row],[Parts]]-Table136[[#This Row],[Cost]]-Table136[[#This Row],[Postage]]</f>
        <v>0</v>
      </c>
      <c r="H125" s="9"/>
      <c r="I125" s="9"/>
      <c r="J125" s="9">
        <f>SUM(Table136[[#This Row],[Actual eBay Sell Price (inc fees)]]-Table136[[#This Row],[Parts]]-Table136[[#This Row],[Cost]]-Table136[[#This Row],[Postage]])</f>
        <v>0</v>
      </c>
    </row>
    <row r="126" spans="1:10" x14ac:dyDescent="0.25">
      <c r="A126" s="8"/>
      <c r="B126" s="12"/>
      <c r="C126" s="2"/>
      <c r="D126" s="2"/>
      <c r="E126" s="2">
        <f>0.09*Table136[[#This Row],[Estimated Sell Price]]</f>
        <v>0</v>
      </c>
      <c r="F126" s="2"/>
      <c r="G126" s="2">
        <f>Table136[[#This Row],[Estimated Sell Price]]-Table136[[#This Row],[eBay Fee (9%)]]-Table136[[#This Row],[Parts]]-Table136[[#This Row],[Cost]]-Table136[[#This Row],[Postage]]</f>
        <v>0</v>
      </c>
      <c r="H126" s="9"/>
      <c r="I126" s="9"/>
      <c r="J126" s="9">
        <f>SUM(Table136[[#This Row],[Actual eBay Sell Price (inc fees)]]-Table136[[#This Row],[Parts]]-Table136[[#This Row],[Cost]]-Table136[[#This Row],[Postage]])</f>
        <v>0</v>
      </c>
    </row>
    <row r="127" spans="1:10" x14ac:dyDescent="0.25">
      <c r="A127" s="8"/>
      <c r="B127" s="12"/>
      <c r="C127" s="2"/>
      <c r="D127" s="2"/>
      <c r="E127" s="2">
        <f>0.09*Table136[[#This Row],[Estimated Sell Price]]</f>
        <v>0</v>
      </c>
      <c r="F127" s="2"/>
      <c r="G127" s="2">
        <f>Table136[[#This Row],[Estimated Sell Price]]-Table136[[#This Row],[eBay Fee (9%)]]-Table136[[#This Row],[Parts]]-Table136[[#This Row],[Cost]]-Table136[[#This Row],[Postage]]</f>
        <v>0</v>
      </c>
      <c r="H127" s="9"/>
      <c r="I127" s="9"/>
      <c r="J127" s="9">
        <f>SUM(Table136[[#This Row],[Actual eBay Sell Price (inc fees)]]-Table136[[#This Row],[Parts]]-Table136[[#This Row],[Cost]]-Table136[[#This Row],[Postage]])</f>
        <v>0</v>
      </c>
    </row>
    <row r="128" spans="1:10" x14ac:dyDescent="0.25">
      <c r="A128" s="8"/>
      <c r="B128" s="12"/>
      <c r="C128" s="2"/>
      <c r="D128" s="2"/>
      <c r="E128" s="2">
        <f>0.09*Table136[[#This Row],[Estimated Sell Price]]</f>
        <v>0</v>
      </c>
      <c r="F128" s="2"/>
      <c r="G128" s="2">
        <f>Table136[[#This Row],[Estimated Sell Price]]-Table136[[#This Row],[eBay Fee (9%)]]-Table136[[#This Row],[Parts]]-Table136[[#This Row],[Cost]]-Table136[[#This Row],[Postage]]</f>
        <v>0</v>
      </c>
      <c r="H128" s="9"/>
      <c r="I128" s="9"/>
      <c r="J128" s="9">
        <f>SUM(Table136[[#This Row],[Actual eBay Sell Price (inc fees)]]-Table136[[#This Row],[Parts]]-Table136[[#This Row],[Cost]]-Table136[[#This Row],[Postage]])</f>
        <v>0</v>
      </c>
    </row>
    <row r="129" spans="1:10" x14ac:dyDescent="0.25">
      <c r="A129" s="8"/>
      <c r="B129" s="12"/>
      <c r="C129" s="2"/>
      <c r="D129" s="2"/>
      <c r="E129" s="2">
        <f>0.09*Table136[[#This Row],[Estimated Sell Price]]</f>
        <v>0</v>
      </c>
      <c r="F129" s="2"/>
      <c r="G129" s="2">
        <f>Table136[[#This Row],[Estimated Sell Price]]-Table136[[#This Row],[eBay Fee (9%)]]-Table136[[#This Row],[Parts]]-Table136[[#This Row],[Cost]]-Table136[[#This Row],[Postage]]</f>
        <v>0</v>
      </c>
      <c r="H129" s="9"/>
      <c r="I129" s="9"/>
      <c r="J129" s="9">
        <f>SUM(Table136[[#This Row],[Actual eBay Sell Price (inc fees)]]-Table136[[#This Row],[Parts]]-Table136[[#This Row],[Cost]]-Table136[[#This Row],[Postage]])</f>
        <v>0</v>
      </c>
    </row>
    <row r="130" spans="1:10" x14ac:dyDescent="0.25">
      <c r="A130" s="8"/>
      <c r="B130" s="12"/>
      <c r="C130" s="2"/>
      <c r="D130" s="2"/>
      <c r="E130" s="2">
        <f>0.09*Table136[[#This Row],[Estimated Sell Price]]</f>
        <v>0</v>
      </c>
      <c r="F130" s="2"/>
      <c r="G130" s="2">
        <f>Table136[[#This Row],[Estimated Sell Price]]-Table136[[#This Row],[eBay Fee (9%)]]-Table136[[#This Row],[Parts]]-Table136[[#This Row],[Cost]]-Table136[[#This Row],[Postage]]</f>
        <v>0</v>
      </c>
      <c r="H130" s="9"/>
      <c r="I130" s="9"/>
      <c r="J130" s="9">
        <f>SUM(Table136[[#This Row],[Actual eBay Sell Price (inc fees)]]-Table136[[#This Row],[Parts]]-Table136[[#This Row],[Cost]]-Table136[[#This Row],[Postage]])</f>
        <v>0</v>
      </c>
    </row>
    <row r="131" spans="1:10" x14ac:dyDescent="0.25">
      <c r="A131" s="8"/>
      <c r="B131" s="12"/>
      <c r="C131" s="2"/>
      <c r="D131" s="2"/>
      <c r="E131" s="2">
        <f>0.09*Table136[[#This Row],[Estimated Sell Price]]</f>
        <v>0</v>
      </c>
      <c r="F131" s="2"/>
      <c r="G131" s="2">
        <f>Table136[[#This Row],[Estimated Sell Price]]-Table136[[#This Row],[eBay Fee (9%)]]-Table136[[#This Row],[Parts]]-Table136[[#This Row],[Cost]]-Table136[[#This Row],[Postage]]</f>
        <v>0</v>
      </c>
      <c r="H131" s="9"/>
      <c r="I131" s="9"/>
      <c r="J131" s="9">
        <f>SUM(Table136[[#This Row],[Actual eBay Sell Price (inc fees)]]-Table136[[#This Row],[Parts]]-Table136[[#This Row],[Cost]]-Table136[[#This Row],[Postage]])</f>
        <v>0</v>
      </c>
    </row>
    <row r="132" spans="1:10" x14ac:dyDescent="0.25">
      <c r="A132" s="8"/>
      <c r="B132" s="12"/>
      <c r="C132" s="2"/>
      <c r="D132" s="2"/>
      <c r="E132" s="2">
        <f>0.09*Table136[[#This Row],[Estimated Sell Price]]</f>
        <v>0</v>
      </c>
      <c r="F132" s="2"/>
      <c r="G132" s="2">
        <f>Table136[[#This Row],[Estimated Sell Price]]-Table136[[#This Row],[eBay Fee (9%)]]-Table136[[#This Row],[Parts]]-Table136[[#This Row],[Cost]]-Table136[[#This Row],[Postage]]</f>
        <v>0</v>
      </c>
      <c r="H132" s="9"/>
      <c r="I132" s="9"/>
      <c r="J132" s="9">
        <f>SUM(Table136[[#This Row],[Actual eBay Sell Price (inc fees)]]-Table136[[#This Row],[Parts]]-Table136[[#This Row],[Cost]]-Table136[[#This Row],[Postage]])</f>
        <v>0</v>
      </c>
    </row>
    <row r="133" spans="1:10" x14ac:dyDescent="0.25">
      <c r="A133" s="8"/>
      <c r="B133" s="12"/>
      <c r="C133" s="2"/>
      <c r="D133" s="2"/>
      <c r="E133" s="2">
        <f>0.09*Table136[[#This Row],[Estimated Sell Price]]</f>
        <v>0</v>
      </c>
      <c r="F133" s="2"/>
      <c r="G133" s="2">
        <f>Table136[[#This Row],[Estimated Sell Price]]-Table136[[#This Row],[eBay Fee (9%)]]-Table136[[#This Row],[Parts]]-Table136[[#This Row],[Cost]]-Table136[[#This Row],[Postage]]</f>
        <v>0</v>
      </c>
      <c r="H133" s="9"/>
      <c r="I133" s="9"/>
      <c r="J133" s="9">
        <f>SUM(Table136[[#This Row],[Actual eBay Sell Price (inc fees)]]-Table136[[#This Row],[Parts]]-Table136[[#This Row],[Cost]]-Table136[[#This Row],[Postage]])</f>
        <v>0</v>
      </c>
    </row>
    <row r="134" spans="1:10" x14ac:dyDescent="0.25">
      <c r="A134" s="8"/>
      <c r="B134" s="12"/>
      <c r="C134" s="2"/>
      <c r="D134" s="2"/>
      <c r="E134" s="2">
        <f>0.09*Table136[[#This Row],[Estimated Sell Price]]</f>
        <v>0</v>
      </c>
      <c r="F134" s="2"/>
      <c r="G134" s="2">
        <f>Table136[[#This Row],[Estimated Sell Price]]-Table136[[#This Row],[eBay Fee (9%)]]-Table136[[#This Row],[Parts]]-Table136[[#This Row],[Cost]]-Table136[[#This Row],[Postage]]</f>
        <v>0</v>
      </c>
      <c r="H134" s="9"/>
      <c r="I134" s="9"/>
      <c r="J134" s="9">
        <f>SUM(Table136[[#This Row],[Actual eBay Sell Price (inc fees)]]-Table136[[#This Row],[Parts]]-Table136[[#This Row],[Cost]]-Table136[[#This Row],[Postage]])</f>
        <v>0</v>
      </c>
    </row>
    <row r="135" spans="1:10" x14ac:dyDescent="0.25">
      <c r="A135" s="8"/>
      <c r="B135" s="12"/>
      <c r="C135" s="2"/>
      <c r="D135" s="2"/>
      <c r="E135" s="2">
        <f>0.09*Table136[[#This Row],[Estimated Sell Price]]</f>
        <v>0</v>
      </c>
      <c r="F135" s="2"/>
      <c r="G135" s="2">
        <f>Table136[[#This Row],[Estimated Sell Price]]-Table136[[#This Row],[eBay Fee (9%)]]-Table136[[#This Row],[Parts]]-Table136[[#This Row],[Cost]]-Table136[[#This Row],[Postage]]</f>
        <v>0</v>
      </c>
      <c r="H135" s="9"/>
      <c r="I135" s="9"/>
      <c r="J135" s="9">
        <f>SUM(Table136[[#This Row],[Actual eBay Sell Price (inc fees)]]-Table136[[#This Row],[Parts]]-Table136[[#This Row],[Cost]]-Table136[[#This Row],[Postage]])</f>
        <v>0</v>
      </c>
    </row>
    <row r="136" spans="1:10" x14ac:dyDescent="0.25">
      <c r="A136" s="8"/>
      <c r="B136" s="12"/>
      <c r="C136" s="2"/>
      <c r="D136" s="2"/>
      <c r="E136" s="2">
        <f>0.09*Table136[[#This Row],[Estimated Sell Price]]</f>
        <v>0</v>
      </c>
      <c r="F136" s="2"/>
      <c r="G136" s="2">
        <f>Table136[[#This Row],[Estimated Sell Price]]-Table136[[#This Row],[eBay Fee (9%)]]-Table136[[#This Row],[Parts]]-Table136[[#This Row],[Cost]]-Table136[[#This Row],[Postage]]</f>
        <v>0</v>
      </c>
      <c r="H136" s="9"/>
      <c r="I136" s="9"/>
      <c r="J136" s="9">
        <f>SUM(Table136[[#This Row],[Actual eBay Sell Price (inc fees)]]-Table136[[#This Row],[Parts]]-Table136[[#This Row],[Cost]]-Table136[[#This Row],[Postage]])</f>
        <v>0</v>
      </c>
    </row>
    <row r="137" spans="1:10" x14ac:dyDescent="0.25">
      <c r="A137" s="8"/>
      <c r="B137" s="12"/>
      <c r="C137" s="2"/>
      <c r="D137" s="2"/>
      <c r="E137" s="2">
        <f>0.09*Table136[[#This Row],[Estimated Sell Price]]</f>
        <v>0</v>
      </c>
      <c r="F137" s="2"/>
      <c r="G137" s="2">
        <f>Table136[[#This Row],[Estimated Sell Price]]-Table136[[#This Row],[eBay Fee (9%)]]-Table136[[#This Row],[Parts]]-Table136[[#This Row],[Cost]]-Table136[[#This Row],[Postage]]</f>
        <v>0</v>
      </c>
      <c r="H137" s="9"/>
      <c r="I137" s="9"/>
      <c r="J137" s="9">
        <f>SUM(Table136[[#This Row],[Actual eBay Sell Price (inc fees)]]-Table136[[#This Row],[Parts]]-Table136[[#This Row],[Cost]]-Table136[[#This Row],[Postage]])</f>
        <v>0</v>
      </c>
    </row>
    <row r="138" spans="1:10" x14ac:dyDescent="0.25">
      <c r="A138" s="8"/>
      <c r="B138" s="12"/>
      <c r="C138" s="2"/>
      <c r="D138" s="2"/>
      <c r="E138" s="2">
        <f>0.09*Table136[[#This Row],[Estimated Sell Price]]</f>
        <v>0</v>
      </c>
      <c r="F138" s="2"/>
      <c r="G138" s="2">
        <f>Table136[[#This Row],[Estimated Sell Price]]-Table136[[#This Row],[eBay Fee (9%)]]-Table136[[#This Row],[Parts]]-Table136[[#This Row],[Cost]]-Table136[[#This Row],[Postage]]</f>
        <v>0</v>
      </c>
      <c r="H138" s="9"/>
      <c r="I138" s="9"/>
      <c r="J138" s="9">
        <f>SUM(Table136[[#This Row],[Actual eBay Sell Price (inc fees)]]-Table136[[#This Row],[Parts]]-Table136[[#This Row],[Cost]]-Table136[[#This Row],[Postage]])</f>
        <v>0</v>
      </c>
    </row>
    <row r="139" spans="1:10" x14ac:dyDescent="0.25">
      <c r="A139" s="8"/>
      <c r="B139" s="12"/>
      <c r="C139" s="2"/>
      <c r="D139" s="2"/>
      <c r="E139" s="2">
        <f>0.09*Table136[[#This Row],[Estimated Sell Price]]</f>
        <v>0</v>
      </c>
      <c r="F139" s="2"/>
      <c r="G139" s="2">
        <f>Table136[[#This Row],[Estimated Sell Price]]-Table136[[#This Row],[eBay Fee (9%)]]-Table136[[#This Row],[Parts]]-Table136[[#This Row],[Cost]]-Table136[[#This Row],[Postage]]</f>
        <v>0</v>
      </c>
      <c r="H139" s="9"/>
      <c r="I139" s="9"/>
      <c r="J139" s="9">
        <f>SUM(Table136[[#This Row],[Actual eBay Sell Price (inc fees)]]-Table136[[#This Row],[Parts]]-Table136[[#This Row],[Cost]]-Table136[[#This Row],[Postage]])</f>
        <v>0</v>
      </c>
    </row>
    <row r="140" spans="1:10" x14ac:dyDescent="0.25">
      <c r="A140" s="8"/>
      <c r="B140" s="12"/>
      <c r="C140" s="2"/>
      <c r="D140" s="2"/>
      <c r="E140" s="2">
        <f>0.09*Table136[[#This Row],[Estimated Sell Price]]</f>
        <v>0</v>
      </c>
      <c r="F140" s="2"/>
      <c r="G140" s="2">
        <f>Table136[[#This Row],[Estimated Sell Price]]-Table136[[#This Row],[eBay Fee (9%)]]-Table136[[#This Row],[Parts]]-Table136[[#This Row],[Cost]]-Table136[[#This Row],[Postage]]</f>
        <v>0</v>
      </c>
      <c r="H140" s="9"/>
      <c r="I140" s="9"/>
      <c r="J140" s="9">
        <f>SUM(Table136[[#This Row],[Actual eBay Sell Price (inc fees)]]-Table136[[#This Row],[Parts]]-Table136[[#This Row],[Cost]]-Table136[[#This Row],[Postage]])</f>
        <v>0</v>
      </c>
    </row>
    <row r="141" spans="1:10" x14ac:dyDescent="0.25">
      <c r="A141" s="8"/>
      <c r="B141" s="12"/>
      <c r="C141" s="2"/>
      <c r="D141" s="2"/>
      <c r="E141" s="2">
        <f>0.09*Table136[[#This Row],[Estimated Sell Price]]</f>
        <v>0</v>
      </c>
      <c r="F141" s="2"/>
      <c r="G141" s="2">
        <f>Table136[[#This Row],[Estimated Sell Price]]-Table136[[#This Row],[eBay Fee (9%)]]-Table136[[#This Row],[Parts]]-Table136[[#This Row],[Cost]]-Table136[[#This Row],[Postage]]</f>
        <v>0</v>
      </c>
      <c r="H141" s="9"/>
      <c r="I141" s="9"/>
      <c r="J141" s="9">
        <f>SUM(Table136[[#This Row],[Actual eBay Sell Price (inc fees)]]-Table136[[#This Row],[Parts]]-Table136[[#This Row],[Cost]]-Table136[[#This Row],[Postage]])</f>
        <v>0</v>
      </c>
    </row>
    <row r="142" spans="1:10" x14ac:dyDescent="0.25">
      <c r="A142" s="8"/>
      <c r="B142" s="12"/>
      <c r="C142" s="2"/>
      <c r="D142" s="2"/>
      <c r="E142" s="2">
        <f>0.09*Table136[[#This Row],[Estimated Sell Price]]</f>
        <v>0</v>
      </c>
      <c r="F142" s="2"/>
      <c r="G142" s="2">
        <f>Table136[[#This Row],[Estimated Sell Price]]-Table136[[#This Row],[eBay Fee (9%)]]-Table136[[#This Row],[Parts]]-Table136[[#This Row],[Cost]]-Table136[[#This Row],[Postage]]</f>
        <v>0</v>
      </c>
      <c r="H142" s="9"/>
      <c r="I142" s="9"/>
      <c r="J142" s="9">
        <f>SUM(Table136[[#This Row],[Actual eBay Sell Price (inc fees)]]-Table136[[#This Row],[Parts]]-Table136[[#This Row],[Cost]]-Table136[[#This Row],[Postage]])</f>
        <v>0</v>
      </c>
    </row>
    <row r="143" spans="1:10" x14ac:dyDescent="0.25">
      <c r="A143" s="8"/>
      <c r="B143" s="12"/>
      <c r="C143" s="2"/>
      <c r="D143" s="2"/>
      <c r="E143" s="2">
        <f>0.09*Table136[[#This Row],[Estimated Sell Price]]</f>
        <v>0</v>
      </c>
      <c r="F143" s="2"/>
      <c r="G143" s="2">
        <f>Table136[[#This Row],[Estimated Sell Price]]-Table136[[#This Row],[eBay Fee (9%)]]-Table136[[#This Row],[Parts]]-Table136[[#This Row],[Cost]]-Table136[[#This Row],[Postage]]</f>
        <v>0</v>
      </c>
      <c r="H143" s="9"/>
      <c r="I143" s="9"/>
      <c r="J143" s="9">
        <f>SUM(Table136[[#This Row],[Actual eBay Sell Price (inc fees)]]-Table136[[#This Row],[Parts]]-Table136[[#This Row],[Cost]]-Table136[[#This Row],[Postage]])</f>
        <v>0</v>
      </c>
    </row>
    <row r="144" spans="1:10" x14ac:dyDescent="0.25">
      <c r="A144" s="8"/>
      <c r="B144" s="12"/>
      <c r="C144" s="2"/>
      <c r="D144" s="2"/>
      <c r="E144" s="2">
        <f>0.09*Table136[[#This Row],[Estimated Sell Price]]</f>
        <v>0</v>
      </c>
      <c r="F144" s="2"/>
      <c r="G144" s="2">
        <f>Table136[[#This Row],[Estimated Sell Price]]-Table136[[#This Row],[eBay Fee (9%)]]-Table136[[#This Row],[Parts]]-Table136[[#This Row],[Cost]]-Table136[[#This Row],[Postage]]</f>
        <v>0</v>
      </c>
      <c r="H144" s="9"/>
      <c r="I144" s="9"/>
      <c r="J144" s="9">
        <f>SUM(Table136[[#This Row],[Actual eBay Sell Price (inc fees)]]-Table136[[#This Row],[Parts]]-Table136[[#This Row],[Cost]]-Table136[[#This Row],[Postage]])</f>
        <v>0</v>
      </c>
    </row>
    <row r="145" spans="1:10" x14ac:dyDescent="0.25">
      <c r="A145" s="8"/>
      <c r="B145" s="12"/>
      <c r="C145" s="2"/>
      <c r="D145" s="2"/>
      <c r="E145" s="2">
        <f>0.09*Table136[[#This Row],[Estimated Sell Price]]</f>
        <v>0</v>
      </c>
      <c r="F145" s="2"/>
      <c r="G145" s="2">
        <f>Table136[[#This Row],[Estimated Sell Price]]-Table136[[#This Row],[eBay Fee (9%)]]-Table136[[#This Row],[Parts]]-Table136[[#This Row],[Cost]]-Table136[[#This Row],[Postage]]</f>
        <v>0</v>
      </c>
      <c r="H145" s="9"/>
      <c r="I145" s="9"/>
      <c r="J145" s="9">
        <f>SUM(Table136[[#This Row],[Actual eBay Sell Price (inc fees)]]-Table136[[#This Row],[Parts]]-Table136[[#This Row],[Cost]]-Table136[[#This Row],[Postage]])</f>
        <v>0</v>
      </c>
    </row>
    <row r="146" spans="1:10" x14ac:dyDescent="0.25">
      <c r="A146" s="8"/>
      <c r="B146" s="12"/>
      <c r="C146" s="2"/>
      <c r="D146" s="2"/>
      <c r="E146" s="2">
        <f>0.09*Table136[[#This Row],[Estimated Sell Price]]</f>
        <v>0</v>
      </c>
      <c r="F146" s="2"/>
      <c r="G146" s="2">
        <f>Table136[[#This Row],[Estimated Sell Price]]-Table136[[#This Row],[eBay Fee (9%)]]-Table136[[#This Row],[Parts]]-Table136[[#This Row],[Cost]]-Table136[[#This Row],[Postage]]</f>
        <v>0</v>
      </c>
      <c r="H146" s="9"/>
      <c r="I146" s="9"/>
      <c r="J146" s="9">
        <f>SUM(Table136[[#This Row],[Actual eBay Sell Price (inc fees)]]-Table136[[#This Row],[Parts]]-Table136[[#This Row],[Cost]]-Table136[[#This Row],[Postage]])</f>
        <v>0</v>
      </c>
    </row>
    <row r="147" spans="1:10" x14ac:dyDescent="0.25">
      <c r="A147" s="8"/>
      <c r="B147" s="12"/>
      <c r="C147" s="2"/>
      <c r="D147" s="2"/>
      <c r="E147" s="2">
        <f>0.09*Table136[[#This Row],[Estimated Sell Price]]</f>
        <v>0</v>
      </c>
      <c r="F147" s="2"/>
      <c r="G147" s="2">
        <f>Table136[[#This Row],[Estimated Sell Price]]-Table136[[#This Row],[eBay Fee (9%)]]-Table136[[#This Row],[Parts]]-Table136[[#This Row],[Cost]]-Table136[[#This Row],[Postage]]</f>
        <v>0</v>
      </c>
      <c r="H147" s="9"/>
      <c r="I147" s="9"/>
      <c r="J147" s="9">
        <f>SUM(Table136[[#This Row],[Actual eBay Sell Price (inc fees)]]-Table136[[#This Row],[Parts]]-Table136[[#This Row],[Cost]]-Table136[[#This Row],[Postage]])</f>
        <v>0</v>
      </c>
    </row>
    <row r="148" spans="1:10" x14ac:dyDescent="0.25">
      <c r="A148" s="8"/>
      <c r="B148" s="12"/>
      <c r="C148" s="2"/>
      <c r="D148" s="2"/>
      <c r="E148" s="2">
        <f>0.09*Table136[[#This Row],[Estimated Sell Price]]</f>
        <v>0</v>
      </c>
      <c r="F148" s="2"/>
      <c r="G148" s="2">
        <f>Table136[[#This Row],[Estimated Sell Price]]-Table136[[#This Row],[eBay Fee (9%)]]-Table136[[#This Row],[Parts]]-Table136[[#This Row],[Cost]]-Table136[[#This Row],[Postage]]</f>
        <v>0</v>
      </c>
      <c r="H148" s="9"/>
      <c r="I148" s="9"/>
      <c r="J148" s="9">
        <f>SUM(Table136[[#This Row],[Actual eBay Sell Price (inc fees)]]-Table136[[#This Row],[Parts]]-Table136[[#This Row],[Cost]]-Table136[[#This Row],[Postage]])</f>
        <v>0</v>
      </c>
    </row>
    <row r="149" spans="1:10" x14ac:dyDescent="0.25">
      <c r="A149" s="8"/>
      <c r="B149" s="12"/>
      <c r="C149" s="2"/>
      <c r="D149" s="2"/>
      <c r="E149" s="2">
        <f>0.09*Table136[[#This Row],[Estimated Sell Price]]</f>
        <v>0</v>
      </c>
      <c r="F149" s="2"/>
      <c r="G149" s="2">
        <f>Table136[[#This Row],[Estimated Sell Price]]-Table136[[#This Row],[eBay Fee (9%)]]-Table136[[#This Row],[Parts]]-Table136[[#This Row],[Cost]]-Table136[[#This Row],[Postage]]</f>
        <v>0</v>
      </c>
      <c r="H149" s="9"/>
      <c r="I149" s="9"/>
      <c r="J149" s="9">
        <f>SUM(Table136[[#This Row],[Actual eBay Sell Price (inc fees)]]-Table136[[#This Row],[Parts]]-Table136[[#This Row],[Cost]]-Table136[[#This Row],[Postage]])</f>
        <v>0</v>
      </c>
    </row>
    <row r="150" spans="1:10" x14ac:dyDescent="0.25">
      <c r="A150" s="8"/>
      <c r="B150" s="12"/>
      <c r="C150" s="2"/>
      <c r="D150" s="2"/>
      <c r="E150" s="2">
        <f>0.09*Table136[[#This Row],[Estimated Sell Price]]</f>
        <v>0</v>
      </c>
      <c r="F150" s="2"/>
      <c r="G150" s="2">
        <f>Table136[[#This Row],[Estimated Sell Price]]-Table136[[#This Row],[eBay Fee (9%)]]-Table136[[#This Row],[Parts]]-Table136[[#This Row],[Cost]]-Table136[[#This Row],[Postage]]</f>
        <v>0</v>
      </c>
      <c r="H150" s="9"/>
      <c r="I150" s="9"/>
      <c r="J150" s="9">
        <f>SUM(Table136[[#This Row],[Actual eBay Sell Price (inc fees)]]-Table136[[#This Row],[Parts]]-Table136[[#This Row],[Cost]]-Table136[[#This Row],[Postage]])</f>
        <v>0</v>
      </c>
    </row>
    <row r="151" spans="1:10" x14ac:dyDescent="0.25">
      <c r="A151" s="8"/>
      <c r="B151" s="12"/>
      <c r="C151" s="2"/>
      <c r="D151" s="2"/>
      <c r="E151" s="2">
        <f>0.09*Table136[[#This Row],[Estimated Sell Price]]</f>
        <v>0</v>
      </c>
      <c r="F151" s="2"/>
      <c r="G151" s="2">
        <f>Table136[[#This Row],[Estimated Sell Price]]-Table136[[#This Row],[eBay Fee (9%)]]-Table136[[#This Row],[Parts]]-Table136[[#This Row],[Cost]]-Table136[[#This Row],[Postage]]</f>
        <v>0</v>
      </c>
      <c r="H151" s="9"/>
      <c r="I151" s="9"/>
      <c r="J151" s="9">
        <f>SUM(Table136[[#This Row],[Actual eBay Sell Price (inc fees)]]-Table136[[#This Row],[Parts]]-Table136[[#This Row],[Cost]]-Table136[[#This Row],[Postage]])</f>
        <v>0</v>
      </c>
    </row>
    <row r="152" spans="1:10" x14ac:dyDescent="0.25">
      <c r="A152" s="8"/>
      <c r="B152" s="12"/>
      <c r="C152" s="2"/>
      <c r="D152" s="2"/>
      <c r="E152" s="2">
        <f>0.09*Table136[[#This Row],[Estimated Sell Price]]</f>
        <v>0</v>
      </c>
      <c r="F152" s="2"/>
      <c r="G152" s="2">
        <f>Table136[[#This Row],[Estimated Sell Price]]-Table136[[#This Row],[eBay Fee (9%)]]-Table136[[#This Row],[Parts]]-Table136[[#This Row],[Cost]]-Table136[[#This Row],[Postage]]</f>
        <v>0</v>
      </c>
      <c r="H152" s="9"/>
      <c r="I152" s="9"/>
      <c r="J152" s="9">
        <f>SUM(Table136[[#This Row],[Actual eBay Sell Price (inc fees)]]-Table136[[#This Row],[Parts]]-Table136[[#This Row],[Cost]]-Table136[[#This Row],[Postage]])</f>
        <v>0</v>
      </c>
    </row>
    <row r="153" spans="1:10" x14ac:dyDescent="0.25">
      <c r="A153" s="8"/>
      <c r="B153" s="12"/>
      <c r="C153" s="2"/>
      <c r="D153" s="2"/>
      <c r="E153" s="2">
        <f>0.09*Table136[[#This Row],[Estimated Sell Price]]</f>
        <v>0</v>
      </c>
      <c r="F153" s="2"/>
      <c r="G153" s="2">
        <f>Table136[[#This Row],[Estimated Sell Price]]-Table136[[#This Row],[eBay Fee (9%)]]-Table136[[#This Row],[Parts]]-Table136[[#This Row],[Cost]]-Table136[[#This Row],[Postage]]</f>
        <v>0</v>
      </c>
      <c r="H153" s="9"/>
      <c r="I153" s="9"/>
      <c r="J153" s="9">
        <f>SUM(Table136[[#This Row],[Actual eBay Sell Price (inc fees)]]-Table136[[#This Row],[Parts]]-Table136[[#This Row],[Cost]]-Table136[[#This Row],[Postage]])</f>
        <v>0</v>
      </c>
    </row>
    <row r="154" spans="1:10" x14ac:dyDescent="0.25">
      <c r="A154" s="8"/>
      <c r="B154" s="12"/>
      <c r="C154" s="2"/>
      <c r="D154" s="2"/>
      <c r="E154" s="2">
        <f>0.09*Table136[[#This Row],[Estimated Sell Price]]</f>
        <v>0</v>
      </c>
      <c r="F154" s="2"/>
      <c r="G154" s="2">
        <f>Table136[[#This Row],[Estimated Sell Price]]-Table136[[#This Row],[eBay Fee (9%)]]-Table136[[#This Row],[Parts]]-Table136[[#This Row],[Cost]]-Table136[[#This Row],[Postage]]</f>
        <v>0</v>
      </c>
      <c r="H154" s="9"/>
      <c r="I154" s="9"/>
      <c r="J154" s="9">
        <f>SUM(Table136[[#This Row],[Actual eBay Sell Price (inc fees)]]-Table136[[#This Row],[Parts]]-Table136[[#This Row],[Cost]]-Table136[[#This Row],[Postage]])</f>
        <v>0</v>
      </c>
    </row>
    <row r="155" spans="1:10" x14ac:dyDescent="0.25">
      <c r="A155" s="8"/>
      <c r="B155" s="12"/>
      <c r="C155" s="2"/>
      <c r="D155" s="2"/>
      <c r="E155" s="2">
        <f>0.09*Table136[[#This Row],[Estimated Sell Price]]</f>
        <v>0</v>
      </c>
      <c r="F155" s="2"/>
      <c r="G155" s="2">
        <f>Table136[[#This Row],[Estimated Sell Price]]-Table136[[#This Row],[eBay Fee (9%)]]-Table136[[#This Row],[Parts]]-Table136[[#This Row],[Cost]]-Table136[[#This Row],[Postage]]</f>
        <v>0</v>
      </c>
      <c r="H155" s="9"/>
      <c r="I155" s="9"/>
      <c r="J155" s="9">
        <f>SUM(Table136[[#This Row],[Actual eBay Sell Price (inc fees)]]-Table136[[#This Row],[Parts]]-Table136[[#This Row],[Cost]]-Table136[[#This Row],[Postage]])</f>
        <v>0</v>
      </c>
    </row>
    <row r="156" spans="1:10" x14ac:dyDescent="0.25">
      <c r="A156" s="8"/>
      <c r="B156" s="12"/>
      <c r="C156" s="2"/>
      <c r="D156" s="2"/>
      <c r="E156" s="2">
        <f>0.09*Table136[[#This Row],[Estimated Sell Price]]</f>
        <v>0</v>
      </c>
      <c r="F156" s="2"/>
      <c r="G156" s="2">
        <f>Table136[[#This Row],[Estimated Sell Price]]-Table136[[#This Row],[eBay Fee (9%)]]-Table136[[#This Row],[Parts]]-Table136[[#This Row],[Cost]]-Table136[[#This Row],[Postage]]</f>
        <v>0</v>
      </c>
      <c r="H156" s="9"/>
      <c r="I156" s="9"/>
      <c r="J156" s="9">
        <f>SUM(Table136[[#This Row],[Actual eBay Sell Price (inc fees)]]-Table136[[#This Row],[Parts]]-Table136[[#This Row],[Cost]]-Table136[[#This Row],[Postage]])</f>
        <v>0</v>
      </c>
    </row>
    <row r="157" spans="1:10" x14ac:dyDescent="0.25">
      <c r="A157" s="8"/>
      <c r="B157" s="12"/>
      <c r="C157" s="2"/>
      <c r="D157" s="2"/>
      <c r="E157" s="2">
        <f>0.09*Table136[[#This Row],[Estimated Sell Price]]</f>
        <v>0</v>
      </c>
      <c r="F157" s="2"/>
      <c r="G157" s="2">
        <f>Table136[[#This Row],[Estimated Sell Price]]-Table136[[#This Row],[eBay Fee (9%)]]-Table136[[#This Row],[Parts]]-Table136[[#This Row],[Cost]]-Table136[[#This Row],[Postage]]</f>
        <v>0</v>
      </c>
      <c r="H157" s="9"/>
      <c r="I157" s="9"/>
      <c r="J157" s="9">
        <f>SUM(Table136[[#This Row],[Actual eBay Sell Price (inc fees)]]-Table136[[#This Row],[Parts]]-Table136[[#This Row],[Cost]]-Table136[[#This Row],[Postage]])</f>
        <v>0</v>
      </c>
    </row>
    <row r="158" spans="1:10" x14ac:dyDescent="0.25">
      <c r="A158" s="8"/>
      <c r="B158" s="12"/>
      <c r="C158" s="2"/>
      <c r="D158" s="2"/>
      <c r="E158" s="2">
        <f>0.09*Table136[[#This Row],[Estimated Sell Price]]</f>
        <v>0</v>
      </c>
      <c r="F158" s="2"/>
      <c r="G158" s="2">
        <f>Table136[[#This Row],[Estimated Sell Price]]-Table136[[#This Row],[eBay Fee (9%)]]-Table136[[#This Row],[Parts]]-Table136[[#This Row],[Cost]]-Table136[[#This Row],[Postage]]</f>
        <v>0</v>
      </c>
      <c r="H158" s="9"/>
      <c r="I158" s="9"/>
      <c r="J158" s="9">
        <f>SUM(Table136[[#This Row],[Actual eBay Sell Price (inc fees)]]-Table136[[#This Row],[Parts]]-Table136[[#This Row],[Cost]]-Table136[[#This Row],[Postage]])</f>
        <v>0</v>
      </c>
    </row>
    <row r="159" spans="1:10" x14ac:dyDescent="0.25">
      <c r="A159" s="8"/>
      <c r="B159" s="12"/>
      <c r="C159" s="2"/>
      <c r="D159" s="2"/>
      <c r="E159" s="2">
        <f>0.09*Table136[[#This Row],[Estimated Sell Price]]</f>
        <v>0</v>
      </c>
      <c r="F159" s="2"/>
      <c r="G159" s="2">
        <f>Table136[[#This Row],[Estimated Sell Price]]-Table136[[#This Row],[eBay Fee (9%)]]-Table136[[#This Row],[Parts]]-Table136[[#This Row],[Cost]]-Table136[[#This Row],[Postage]]</f>
        <v>0</v>
      </c>
      <c r="H159" s="9"/>
      <c r="I159" s="9"/>
      <c r="J159" s="9">
        <f>SUM(Table136[[#This Row],[Actual eBay Sell Price (inc fees)]]-Table136[[#This Row],[Parts]]-Table136[[#This Row],[Cost]]-Table136[[#This Row],[Postage]])</f>
        <v>0</v>
      </c>
    </row>
    <row r="160" spans="1:10" x14ac:dyDescent="0.25">
      <c r="A160" s="8"/>
      <c r="B160" s="12"/>
      <c r="C160" s="2"/>
      <c r="D160" s="2"/>
      <c r="E160" s="2">
        <f>0.09*Table136[[#This Row],[Estimated Sell Price]]</f>
        <v>0</v>
      </c>
      <c r="F160" s="2"/>
      <c r="G160" s="2">
        <f>Table136[[#This Row],[Estimated Sell Price]]-Table136[[#This Row],[eBay Fee (9%)]]-Table136[[#This Row],[Parts]]-Table136[[#This Row],[Cost]]-Table136[[#This Row],[Postage]]</f>
        <v>0</v>
      </c>
      <c r="H160" s="9"/>
      <c r="I160" s="9"/>
      <c r="J160" s="9">
        <f>SUM(Table136[[#This Row],[Actual eBay Sell Price (inc fees)]]-Table136[[#This Row],[Parts]]-Table136[[#This Row],[Cost]]-Table136[[#This Row],[Postage]])</f>
        <v>0</v>
      </c>
    </row>
    <row r="161" spans="1:10" x14ac:dyDescent="0.25">
      <c r="A161" s="8"/>
      <c r="B161" s="12"/>
      <c r="C161" s="2"/>
      <c r="D161" s="2"/>
      <c r="E161" s="2">
        <f>0.09*Table136[[#This Row],[Estimated Sell Price]]</f>
        <v>0</v>
      </c>
      <c r="F161" s="2"/>
      <c r="G161" s="2">
        <f>Table136[[#This Row],[Estimated Sell Price]]-Table136[[#This Row],[eBay Fee (9%)]]-Table136[[#This Row],[Parts]]-Table136[[#This Row],[Cost]]-Table136[[#This Row],[Postage]]</f>
        <v>0</v>
      </c>
      <c r="H161" s="9"/>
      <c r="I161" s="9"/>
      <c r="J161" s="9">
        <f>SUM(Table136[[#This Row],[Actual eBay Sell Price (inc fees)]]-Table136[[#This Row],[Parts]]-Table136[[#This Row],[Cost]]-Table136[[#This Row],[Postage]])</f>
        <v>0</v>
      </c>
    </row>
    <row r="162" spans="1:10" x14ac:dyDescent="0.25">
      <c r="A162" s="8"/>
      <c r="B162" s="12"/>
      <c r="C162" s="2"/>
      <c r="D162" s="2"/>
      <c r="E162" s="2">
        <f>0.09*Table136[[#This Row],[Estimated Sell Price]]</f>
        <v>0</v>
      </c>
      <c r="F162" s="2"/>
      <c r="G162" s="2">
        <f>Table136[[#This Row],[Estimated Sell Price]]-Table136[[#This Row],[eBay Fee (9%)]]-Table136[[#This Row],[Parts]]-Table136[[#This Row],[Cost]]-Table136[[#This Row],[Postage]]</f>
        <v>0</v>
      </c>
      <c r="H162" s="9"/>
      <c r="I162" s="9"/>
      <c r="J162" s="9">
        <f>SUM(Table136[[#This Row],[Actual eBay Sell Price (inc fees)]]-Table136[[#This Row],[Parts]]-Table136[[#This Row],[Cost]]-Table136[[#This Row],[Postage]])</f>
        <v>0</v>
      </c>
    </row>
    <row r="163" spans="1:10" x14ac:dyDescent="0.25">
      <c r="A163" s="8"/>
      <c r="B163" s="12"/>
      <c r="C163" s="2"/>
      <c r="D163" s="2"/>
      <c r="E163" s="2">
        <f>0.09*Table136[[#This Row],[Estimated Sell Price]]</f>
        <v>0</v>
      </c>
      <c r="F163" s="2"/>
      <c r="G163" s="2">
        <f>Table136[[#This Row],[Estimated Sell Price]]-Table136[[#This Row],[eBay Fee (9%)]]-Table136[[#This Row],[Parts]]-Table136[[#This Row],[Cost]]-Table136[[#This Row],[Postage]]</f>
        <v>0</v>
      </c>
      <c r="H163" s="9"/>
      <c r="I163" s="9"/>
      <c r="J163" s="9">
        <f>SUM(Table136[[#This Row],[Actual eBay Sell Price (inc fees)]]-Table136[[#This Row],[Parts]]-Table136[[#This Row],[Cost]]-Table136[[#This Row],[Postage]])</f>
        <v>0</v>
      </c>
    </row>
    <row r="164" spans="1:10" x14ac:dyDescent="0.25">
      <c r="A164" s="8"/>
      <c r="B164" s="12"/>
      <c r="C164" s="2"/>
      <c r="D164" s="2"/>
      <c r="E164" s="2">
        <f>0.09*Table136[[#This Row],[Estimated Sell Price]]</f>
        <v>0</v>
      </c>
      <c r="F164" s="2"/>
      <c r="G164" s="2">
        <f>Table136[[#This Row],[Estimated Sell Price]]-Table136[[#This Row],[eBay Fee (9%)]]-Table136[[#This Row],[Parts]]-Table136[[#This Row],[Cost]]-Table136[[#This Row],[Postage]]</f>
        <v>0</v>
      </c>
      <c r="H164" s="9"/>
      <c r="I164" s="9"/>
      <c r="J164" s="9">
        <f>SUM(Table136[[#This Row],[Actual eBay Sell Price (inc fees)]]-Table136[[#This Row],[Parts]]-Table136[[#This Row],[Cost]]-Table136[[#This Row],[Postage]])</f>
        <v>0</v>
      </c>
    </row>
    <row r="165" spans="1:10" x14ac:dyDescent="0.25">
      <c r="A165" s="8"/>
      <c r="B165" s="12"/>
      <c r="C165" s="2"/>
      <c r="D165" s="2"/>
      <c r="E165" s="2">
        <f>0.09*Table136[[#This Row],[Estimated Sell Price]]</f>
        <v>0</v>
      </c>
      <c r="F165" s="2"/>
      <c r="G165" s="2">
        <f>Table136[[#This Row],[Estimated Sell Price]]-Table136[[#This Row],[eBay Fee (9%)]]-Table136[[#This Row],[Parts]]-Table136[[#This Row],[Cost]]-Table136[[#This Row],[Postage]]</f>
        <v>0</v>
      </c>
      <c r="H165" s="9"/>
      <c r="I165" s="9"/>
      <c r="J165" s="9">
        <f>SUM(Table136[[#This Row],[Actual eBay Sell Price (inc fees)]]-Table136[[#This Row],[Parts]]-Table136[[#This Row],[Cost]]-Table136[[#This Row],[Postage]])</f>
        <v>0</v>
      </c>
    </row>
    <row r="166" spans="1:10" x14ac:dyDescent="0.25">
      <c r="A166" s="8"/>
      <c r="B166" s="12"/>
      <c r="C166" s="2"/>
      <c r="D166" s="2"/>
      <c r="E166" s="2">
        <f>0.09*Table136[[#This Row],[Estimated Sell Price]]</f>
        <v>0</v>
      </c>
      <c r="F166" s="2"/>
      <c r="G166" s="2">
        <f>Table136[[#This Row],[Estimated Sell Price]]-Table136[[#This Row],[eBay Fee (9%)]]-Table136[[#This Row],[Parts]]-Table136[[#This Row],[Cost]]-Table136[[#This Row],[Postage]]</f>
        <v>0</v>
      </c>
      <c r="H166" s="9"/>
      <c r="I166" s="9"/>
      <c r="J166" s="9">
        <f>SUM(Table136[[#This Row],[Actual eBay Sell Price (inc fees)]]-Table136[[#This Row],[Parts]]-Table136[[#This Row],[Cost]]-Table136[[#This Row],[Postage]])</f>
        <v>0</v>
      </c>
    </row>
    <row r="167" spans="1:10" x14ac:dyDescent="0.25">
      <c r="A167" s="8"/>
      <c r="B167" s="12"/>
      <c r="C167" s="2"/>
      <c r="D167" s="2"/>
      <c r="E167" s="2">
        <f>0.09*Table136[[#This Row],[Estimated Sell Price]]</f>
        <v>0</v>
      </c>
      <c r="F167" s="2"/>
      <c r="G167" s="2">
        <f>Table136[[#This Row],[Estimated Sell Price]]-Table136[[#This Row],[eBay Fee (9%)]]-Table136[[#This Row],[Parts]]-Table136[[#This Row],[Cost]]-Table136[[#This Row],[Postage]]</f>
        <v>0</v>
      </c>
      <c r="H167" s="9"/>
      <c r="I167" s="9"/>
      <c r="J167" s="9">
        <f>SUM(Table136[[#This Row],[Actual eBay Sell Price (inc fees)]]-Table136[[#This Row],[Parts]]-Table136[[#This Row],[Cost]]-Table136[[#This Row],[Postage]])</f>
        <v>0</v>
      </c>
    </row>
    <row r="168" spans="1:10" x14ac:dyDescent="0.25">
      <c r="A168" s="8"/>
      <c r="B168" s="12"/>
      <c r="C168" s="2"/>
      <c r="D168" s="2"/>
      <c r="E168" s="2">
        <f>0.09*Table136[[#This Row],[Estimated Sell Price]]</f>
        <v>0</v>
      </c>
      <c r="F168" s="2"/>
      <c r="G168" s="2">
        <f>Table136[[#This Row],[Estimated Sell Price]]-Table136[[#This Row],[eBay Fee (9%)]]-Table136[[#This Row],[Parts]]-Table136[[#This Row],[Cost]]-Table136[[#This Row],[Postage]]</f>
        <v>0</v>
      </c>
      <c r="H168" s="9"/>
      <c r="I168" s="9"/>
      <c r="J168" s="9">
        <f>SUM(Table136[[#This Row],[Actual eBay Sell Price (inc fees)]]-Table136[[#This Row],[Parts]]-Table136[[#This Row],[Cost]]-Table136[[#This Row],[Postage]])</f>
        <v>0</v>
      </c>
    </row>
    <row r="169" spans="1:10" x14ac:dyDescent="0.25">
      <c r="A169" s="8"/>
      <c r="B169" s="12"/>
      <c r="C169" s="2"/>
      <c r="D169" s="2"/>
      <c r="E169" s="2">
        <f>0.09*Table136[[#This Row],[Estimated Sell Price]]</f>
        <v>0</v>
      </c>
      <c r="F169" s="2"/>
      <c r="G169" s="2">
        <f>Table136[[#This Row],[Estimated Sell Price]]-Table136[[#This Row],[eBay Fee (9%)]]-Table136[[#This Row],[Parts]]-Table136[[#This Row],[Cost]]-Table136[[#This Row],[Postage]]</f>
        <v>0</v>
      </c>
      <c r="H169" s="9"/>
      <c r="I169" s="9"/>
      <c r="J169" s="9">
        <f>SUM(Table136[[#This Row],[Actual eBay Sell Price (inc fees)]]-Table136[[#This Row],[Parts]]-Table136[[#This Row],[Cost]]-Table136[[#This Row],[Postage]])</f>
        <v>0</v>
      </c>
    </row>
    <row r="170" spans="1:10" x14ac:dyDescent="0.25">
      <c r="A170" s="8"/>
      <c r="B170" s="12"/>
      <c r="C170" s="2"/>
      <c r="D170" s="2"/>
      <c r="E170" s="2">
        <f>0.09*Table136[[#This Row],[Estimated Sell Price]]</f>
        <v>0</v>
      </c>
      <c r="F170" s="2"/>
      <c r="G170" s="2">
        <f>Table136[[#This Row],[Estimated Sell Price]]-Table136[[#This Row],[eBay Fee (9%)]]-Table136[[#This Row],[Parts]]-Table136[[#This Row],[Cost]]-Table136[[#This Row],[Postage]]</f>
        <v>0</v>
      </c>
      <c r="H170" s="9"/>
      <c r="I170" s="9"/>
      <c r="J170" s="9">
        <f>SUM(Table136[[#This Row],[Actual eBay Sell Price (inc fees)]]-Table136[[#This Row],[Parts]]-Table136[[#This Row],[Cost]]-Table136[[#This Row],[Postage]])</f>
        <v>0</v>
      </c>
    </row>
    <row r="171" spans="1:10" x14ac:dyDescent="0.25">
      <c r="A171" s="8"/>
      <c r="B171" s="12"/>
      <c r="C171" s="2"/>
      <c r="D171" s="2"/>
      <c r="E171" s="2">
        <f>0.09*Table136[[#This Row],[Estimated Sell Price]]</f>
        <v>0</v>
      </c>
      <c r="F171" s="2"/>
      <c r="G171" s="2">
        <f>Table136[[#This Row],[Estimated Sell Price]]-Table136[[#This Row],[eBay Fee (9%)]]-Table136[[#This Row],[Parts]]-Table136[[#This Row],[Cost]]-Table136[[#This Row],[Postage]]</f>
        <v>0</v>
      </c>
      <c r="H171" s="9"/>
      <c r="I171" s="9"/>
      <c r="J171" s="9">
        <f>SUM(Table136[[#This Row],[Actual eBay Sell Price (inc fees)]]-Table136[[#This Row],[Parts]]-Table136[[#This Row],[Cost]]-Table136[[#This Row],[Postage]])</f>
        <v>0</v>
      </c>
    </row>
    <row r="172" spans="1:10" x14ac:dyDescent="0.25">
      <c r="A172" s="8"/>
      <c r="B172" s="12"/>
      <c r="C172" s="2"/>
      <c r="D172" s="2"/>
      <c r="E172" s="2">
        <f>0.09*Table136[[#This Row],[Estimated Sell Price]]</f>
        <v>0</v>
      </c>
      <c r="F172" s="2"/>
      <c r="G172" s="2">
        <f>Table136[[#This Row],[Estimated Sell Price]]-Table136[[#This Row],[eBay Fee (9%)]]-Table136[[#This Row],[Parts]]-Table136[[#This Row],[Cost]]-Table136[[#This Row],[Postage]]</f>
        <v>0</v>
      </c>
      <c r="H172" s="9"/>
      <c r="I172" s="9"/>
      <c r="J172" s="9">
        <f>SUM(Table136[[#This Row],[Actual eBay Sell Price (inc fees)]]-Table136[[#This Row],[Parts]]-Table136[[#This Row],[Cost]]-Table136[[#This Row],[Postage]])</f>
        <v>0</v>
      </c>
    </row>
    <row r="173" spans="1:10" x14ac:dyDescent="0.25">
      <c r="A173" s="8"/>
      <c r="B173" s="12"/>
      <c r="C173" s="2"/>
      <c r="D173" s="2"/>
      <c r="E173" s="2">
        <f>0.09*Table136[[#This Row],[Estimated Sell Price]]</f>
        <v>0</v>
      </c>
      <c r="F173" s="2"/>
      <c r="G173" s="2">
        <f>Table136[[#This Row],[Estimated Sell Price]]-Table136[[#This Row],[eBay Fee (9%)]]-Table136[[#This Row],[Parts]]-Table136[[#This Row],[Cost]]-Table136[[#This Row],[Postage]]</f>
        <v>0</v>
      </c>
      <c r="H173" s="9"/>
      <c r="I173" s="9"/>
      <c r="J173" s="9">
        <f>SUM(Table136[[#This Row],[Actual eBay Sell Price (inc fees)]]-Table136[[#This Row],[Parts]]-Table136[[#This Row],[Cost]]-Table136[[#This Row],[Postage]])</f>
        <v>0</v>
      </c>
    </row>
    <row r="174" spans="1:10" x14ac:dyDescent="0.25">
      <c r="A174" s="8"/>
      <c r="B174" s="12"/>
      <c r="C174" s="2"/>
      <c r="D174" s="2"/>
      <c r="E174" s="2">
        <f>0.09*Table136[[#This Row],[Estimated Sell Price]]</f>
        <v>0</v>
      </c>
      <c r="F174" s="2"/>
      <c r="G174" s="2">
        <f>Table136[[#This Row],[Estimated Sell Price]]-Table136[[#This Row],[eBay Fee (9%)]]-Table136[[#This Row],[Parts]]-Table136[[#This Row],[Cost]]-Table136[[#This Row],[Postage]]</f>
        <v>0</v>
      </c>
      <c r="H174" s="9"/>
      <c r="I174" s="9"/>
      <c r="J174" s="9">
        <f>SUM(Table136[[#This Row],[Actual eBay Sell Price (inc fees)]]-Table136[[#This Row],[Parts]]-Table136[[#This Row],[Cost]]-Table136[[#This Row],[Postage]])</f>
        <v>0</v>
      </c>
    </row>
    <row r="175" spans="1:10" x14ac:dyDescent="0.25">
      <c r="A175" s="8"/>
      <c r="B175" s="12"/>
      <c r="C175" s="2"/>
      <c r="D175" s="2"/>
      <c r="E175" s="2">
        <f>0.09*Table136[[#This Row],[Estimated Sell Price]]</f>
        <v>0</v>
      </c>
      <c r="F175" s="2"/>
      <c r="G175" s="2">
        <f>Table136[[#This Row],[Estimated Sell Price]]-Table136[[#This Row],[eBay Fee (9%)]]-Table136[[#This Row],[Parts]]-Table136[[#This Row],[Cost]]-Table136[[#This Row],[Postage]]</f>
        <v>0</v>
      </c>
      <c r="H175" s="9"/>
      <c r="I175" s="9"/>
      <c r="J175" s="9">
        <f>SUM(Table136[[#This Row],[Actual eBay Sell Price (inc fees)]]-Table136[[#This Row],[Parts]]-Table136[[#This Row],[Cost]]-Table136[[#This Row],[Postage]])</f>
        <v>0</v>
      </c>
    </row>
    <row r="176" spans="1:10" x14ac:dyDescent="0.25">
      <c r="A176" s="8"/>
      <c r="B176" s="12"/>
      <c r="C176" s="2"/>
      <c r="D176" s="2"/>
      <c r="E176" s="2">
        <f>0.09*Table136[[#This Row],[Estimated Sell Price]]</f>
        <v>0</v>
      </c>
      <c r="F176" s="2"/>
      <c r="G176" s="2">
        <f>Table136[[#This Row],[Estimated Sell Price]]-Table136[[#This Row],[eBay Fee (9%)]]-Table136[[#This Row],[Parts]]-Table136[[#This Row],[Cost]]-Table136[[#This Row],[Postage]]</f>
        <v>0</v>
      </c>
      <c r="H176" s="9"/>
      <c r="I176" s="9"/>
      <c r="J176" s="9">
        <f>SUM(Table136[[#This Row],[Actual eBay Sell Price (inc fees)]]-Table136[[#This Row],[Parts]]-Table136[[#This Row],[Cost]]-Table136[[#This Row],[Postage]])</f>
        <v>0</v>
      </c>
    </row>
    <row r="177" spans="1:10" x14ac:dyDescent="0.25">
      <c r="A177" s="8"/>
      <c r="B177" s="12"/>
      <c r="C177" s="2"/>
      <c r="D177" s="2"/>
      <c r="E177" s="2">
        <f>0.09*Table136[[#This Row],[Estimated Sell Price]]</f>
        <v>0</v>
      </c>
      <c r="F177" s="2"/>
      <c r="G177" s="2">
        <f>Table136[[#This Row],[Estimated Sell Price]]-Table136[[#This Row],[eBay Fee (9%)]]-Table136[[#This Row],[Parts]]-Table136[[#This Row],[Cost]]-Table136[[#This Row],[Postage]]</f>
        <v>0</v>
      </c>
      <c r="H177" s="9"/>
      <c r="I177" s="9"/>
      <c r="J177" s="9">
        <f>SUM(Table136[[#This Row],[Actual eBay Sell Price (inc fees)]]-Table136[[#This Row],[Parts]]-Table136[[#This Row],[Cost]]-Table136[[#This Row],[Postage]])</f>
        <v>0</v>
      </c>
    </row>
    <row r="178" spans="1:10" x14ac:dyDescent="0.25">
      <c r="A178" s="8"/>
      <c r="B178" s="12"/>
      <c r="C178" s="2"/>
      <c r="D178" s="2"/>
      <c r="E178" s="2">
        <f>0.09*Table136[[#This Row],[Estimated Sell Price]]</f>
        <v>0</v>
      </c>
      <c r="F178" s="2"/>
      <c r="G178" s="2">
        <f>Table136[[#This Row],[Estimated Sell Price]]-Table136[[#This Row],[eBay Fee (9%)]]-Table136[[#This Row],[Parts]]-Table136[[#This Row],[Cost]]-Table136[[#This Row],[Postage]]</f>
        <v>0</v>
      </c>
      <c r="H178" s="9"/>
      <c r="I178" s="9"/>
      <c r="J178" s="9">
        <f>SUM(Table136[[#This Row],[Actual eBay Sell Price (inc fees)]]-Table136[[#This Row],[Parts]]-Table136[[#This Row],[Cost]]-Table136[[#This Row],[Postage]])</f>
        <v>0</v>
      </c>
    </row>
    <row r="179" spans="1:10" x14ac:dyDescent="0.25">
      <c r="A179" s="8"/>
      <c r="B179" s="12"/>
      <c r="C179" s="2"/>
      <c r="D179" s="2"/>
      <c r="E179" s="2">
        <f>0.09*Table136[[#This Row],[Estimated Sell Price]]</f>
        <v>0</v>
      </c>
      <c r="F179" s="2"/>
      <c r="G179" s="2">
        <f>Table136[[#This Row],[Estimated Sell Price]]-Table136[[#This Row],[eBay Fee (9%)]]-Table136[[#This Row],[Parts]]-Table136[[#This Row],[Cost]]-Table136[[#This Row],[Postage]]</f>
        <v>0</v>
      </c>
      <c r="H179" s="9"/>
      <c r="I179" s="9"/>
      <c r="J179" s="9">
        <f>SUM(Table136[[#This Row],[Actual eBay Sell Price (inc fees)]]-Table136[[#This Row],[Parts]]-Table136[[#This Row],[Cost]]-Table136[[#This Row],[Postage]])</f>
        <v>0</v>
      </c>
    </row>
    <row r="180" spans="1:10" x14ac:dyDescent="0.25">
      <c r="A180" s="8"/>
      <c r="B180" s="12"/>
      <c r="C180" s="2"/>
      <c r="D180" s="2"/>
      <c r="E180" s="2">
        <f>0.09*Table136[[#This Row],[Estimated Sell Price]]</f>
        <v>0</v>
      </c>
      <c r="F180" s="2"/>
      <c r="G180" s="2">
        <f>Table136[[#This Row],[Estimated Sell Price]]-Table136[[#This Row],[eBay Fee (9%)]]-Table136[[#This Row],[Parts]]-Table136[[#This Row],[Cost]]-Table136[[#This Row],[Postage]]</f>
        <v>0</v>
      </c>
      <c r="H180" s="9"/>
      <c r="I180" s="9"/>
      <c r="J180" s="9">
        <f>SUM(Table136[[#This Row],[Actual eBay Sell Price (inc fees)]]-Table136[[#This Row],[Parts]]-Table136[[#This Row],[Cost]]-Table136[[#This Row],[Postage]])</f>
        <v>0</v>
      </c>
    </row>
    <row r="181" spans="1:10" x14ac:dyDescent="0.25">
      <c r="A181" s="8"/>
      <c r="B181" s="12"/>
      <c r="C181" s="2"/>
      <c r="D181" s="2"/>
      <c r="E181" s="2">
        <f>0.09*Table136[[#This Row],[Estimated Sell Price]]</f>
        <v>0</v>
      </c>
      <c r="F181" s="2"/>
      <c r="G181" s="2">
        <f>Table136[[#This Row],[Estimated Sell Price]]-Table136[[#This Row],[eBay Fee (9%)]]-Table136[[#This Row],[Parts]]-Table136[[#This Row],[Cost]]-Table136[[#This Row],[Postage]]</f>
        <v>0</v>
      </c>
      <c r="H181" s="9"/>
      <c r="I181" s="9"/>
      <c r="J181" s="9">
        <f>SUM(Table136[[#This Row],[Actual eBay Sell Price (inc fees)]]-Table136[[#This Row],[Parts]]-Table136[[#This Row],[Cost]]-Table136[[#This Row],[Postage]])</f>
        <v>0</v>
      </c>
    </row>
    <row r="182" spans="1:10" x14ac:dyDescent="0.25">
      <c r="A182" s="8"/>
      <c r="B182" s="12"/>
      <c r="C182" s="2"/>
      <c r="D182" s="2"/>
      <c r="E182" s="2">
        <f>0.09*Table136[[#This Row],[Estimated Sell Price]]</f>
        <v>0</v>
      </c>
      <c r="F182" s="2"/>
      <c r="G182" s="2">
        <f>Table136[[#This Row],[Estimated Sell Price]]-Table136[[#This Row],[eBay Fee (9%)]]-Table136[[#This Row],[Parts]]-Table136[[#This Row],[Cost]]-Table136[[#This Row],[Postage]]</f>
        <v>0</v>
      </c>
      <c r="H182" s="9"/>
      <c r="I182" s="9"/>
      <c r="J182" s="9">
        <f>SUM(Table136[[#This Row],[Actual eBay Sell Price (inc fees)]]-Table136[[#This Row],[Parts]]-Table136[[#This Row],[Cost]]-Table136[[#This Row],[Postage]])</f>
        <v>0</v>
      </c>
    </row>
    <row r="183" spans="1:10" x14ac:dyDescent="0.25">
      <c r="A183" s="8"/>
      <c r="B183" s="12"/>
      <c r="C183" s="2"/>
      <c r="D183" s="2"/>
      <c r="E183" s="2">
        <f>0.09*Table136[[#This Row],[Estimated Sell Price]]</f>
        <v>0</v>
      </c>
      <c r="F183" s="2"/>
      <c r="G183" s="2">
        <f>Table136[[#This Row],[Estimated Sell Price]]-Table136[[#This Row],[eBay Fee (9%)]]-Table136[[#This Row],[Parts]]-Table136[[#This Row],[Cost]]-Table136[[#This Row],[Postage]]</f>
        <v>0</v>
      </c>
      <c r="H183" s="9"/>
      <c r="I183" s="9"/>
      <c r="J183" s="9">
        <f>SUM(Table136[[#This Row],[Actual eBay Sell Price (inc fees)]]-Table136[[#This Row],[Parts]]-Table136[[#This Row],[Cost]]-Table136[[#This Row],[Postage]])</f>
        <v>0</v>
      </c>
    </row>
    <row r="184" spans="1:10" x14ac:dyDescent="0.25">
      <c r="A184" s="8"/>
      <c r="B184" s="12"/>
      <c r="C184" s="2"/>
      <c r="D184" s="2"/>
      <c r="E184" s="2">
        <f>0.09*Table136[[#This Row],[Estimated Sell Price]]</f>
        <v>0</v>
      </c>
      <c r="F184" s="2"/>
      <c r="G184" s="2">
        <f>Table136[[#This Row],[Estimated Sell Price]]-Table136[[#This Row],[eBay Fee (9%)]]-Table136[[#This Row],[Parts]]-Table136[[#This Row],[Cost]]-Table136[[#This Row],[Postage]]</f>
        <v>0</v>
      </c>
      <c r="H184" s="9"/>
      <c r="I184" s="9"/>
      <c r="J184" s="9">
        <f>SUM(Table136[[#This Row],[Actual eBay Sell Price (inc fees)]]-Table136[[#This Row],[Parts]]-Table136[[#This Row],[Cost]]-Table136[[#This Row],[Postage]])</f>
        <v>0</v>
      </c>
    </row>
    <row r="185" spans="1:10" x14ac:dyDescent="0.25">
      <c r="A185" s="8"/>
      <c r="B185" s="12"/>
      <c r="C185" s="2"/>
      <c r="D185" s="2"/>
      <c r="E185" s="2">
        <f>0.09*Table136[[#This Row],[Estimated Sell Price]]</f>
        <v>0</v>
      </c>
      <c r="F185" s="2"/>
      <c r="G185" s="2">
        <f>Table136[[#This Row],[Estimated Sell Price]]-Table136[[#This Row],[eBay Fee (9%)]]-Table136[[#This Row],[Parts]]-Table136[[#This Row],[Cost]]-Table136[[#This Row],[Postage]]</f>
        <v>0</v>
      </c>
      <c r="H185" s="9"/>
      <c r="I185" s="9"/>
      <c r="J185" s="9">
        <f>SUM(Table136[[#This Row],[Actual eBay Sell Price (inc fees)]]-Table136[[#This Row],[Parts]]-Table136[[#This Row],[Cost]]-Table136[[#This Row],[Postage]])</f>
        <v>0</v>
      </c>
    </row>
    <row r="186" spans="1:10" x14ac:dyDescent="0.25">
      <c r="A186" s="8"/>
      <c r="B186" s="12"/>
      <c r="C186" s="2"/>
      <c r="D186" s="2"/>
      <c r="E186" s="2">
        <f>0.09*Table136[[#This Row],[Estimated Sell Price]]</f>
        <v>0</v>
      </c>
      <c r="F186" s="2"/>
      <c r="G186" s="2">
        <f>Table136[[#This Row],[Estimated Sell Price]]-Table136[[#This Row],[eBay Fee (9%)]]-Table136[[#This Row],[Parts]]-Table136[[#This Row],[Cost]]-Table136[[#This Row],[Postage]]</f>
        <v>0</v>
      </c>
      <c r="H186" s="9"/>
      <c r="I186" s="9"/>
      <c r="J186" s="9">
        <f>SUM(Table136[[#This Row],[Actual eBay Sell Price (inc fees)]]-Table136[[#This Row],[Parts]]-Table136[[#This Row],[Cost]]-Table136[[#This Row],[Postage]])</f>
        <v>0</v>
      </c>
    </row>
    <row r="187" spans="1:10" x14ac:dyDescent="0.25">
      <c r="A187" s="8"/>
      <c r="B187" s="12"/>
      <c r="C187" s="2"/>
      <c r="D187" s="2"/>
      <c r="E187" s="2">
        <f>0.09*Table136[[#This Row],[Estimated Sell Price]]</f>
        <v>0</v>
      </c>
      <c r="F187" s="2"/>
      <c r="G187" s="2">
        <f>Table136[[#This Row],[Estimated Sell Price]]-Table136[[#This Row],[eBay Fee (9%)]]-Table136[[#This Row],[Parts]]-Table136[[#This Row],[Cost]]-Table136[[#This Row],[Postage]]</f>
        <v>0</v>
      </c>
      <c r="H187" s="9"/>
      <c r="I187" s="9"/>
      <c r="J187" s="9">
        <f>SUM(Table136[[#This Row],[Actual eBay Sell Price (inc fees)]]-Table136[[#This Row],[Parts]]-Table136[[#This Row],[Cost]]-Table136[[#This Row],[Postage]])</f>
        <v>0</v>
      </c>
    </row>
    <row r="188" spans="1:10" x14ac:dyDescent="0.25">
      <c r="A188" s="8"/>
      <c r="B188" s="12"/>
      <c r="C188" s="2"/>
      <c r="D188" s="2"/>
      <c r="E188" s="2">
        <f>0.09*Table136[[#This Row],[Estimated Sell Price]]</f>
        <v>0</v>
      </c>
      <c r="F188" s="2"/>
      <c r="G188" s="2">
        <f>Table136[[#This Row],[Estimated Sell Price]]-Table136[[#This Row],[eBay Fee (9%)]]-Table136[[#This Row],[Parts]]-Table136[[#This Row],[Cost]]-Table136[[#This Row],[Postage]]</f>
        <v>0</v>
      </c>
      <c r="H188" s="9"/>
      <c r="I188" s="9"/>
      <c r="J188" s="9">
        <f>SUM(Table136[[#This Row],[Actual eBay Sell Price (inc fees)]]-Table136[[#This Row],[Parts]]-Table136[[#This Row],[Cost]]-Table136[[#This Row],[Postage]])</f>
        <v>0</v>
      </c>
    </row>
    <row r="189" spans="1:10" x14ac:dyDescent="0.25">
      <c r="A189" s="8"/>
      <c r="B189" s="12"/>
      <c r="C189" s="2"/>
      <c r="D189" s="2"/>
      <c r="E189" s="2">
        <f>0.09*Table136[[#This Row],[Estimated Sell Price]]</f>
        <v>0</v>
      </c>
      <c r="F189" s="2"/>
      <c r="G189" s="2">
        <f>Table136[[#This Row],[Estimated Sell Price]]-Table136[[#This Row],[eBay Fee (9%)]]-Table136[[#This Row],[Parts]]-Table136[[#This Row],[Cost]]-Table136[[#This Row],[Postage]]</f>
        <v>0</v>
      </c>
      <c r="H189" s="9"/>
      <c r="I189" s="9"/>
      <c r="J189" s="9">
        <f>SUM(Table136[[#This Row],[Actual eBay Sell Price (inc fees)]]-Table136[[#This Row],[Parts]]-Table136[[#This Row],[Cost]]-Table136[[#This Row],[Postage]])</f>
        <v>0</v>
      </c>
    </row>
    <row r="190" spans="1:10" x14ac:dyDescent="0.25">
      <c r="A190" s="8"/>
      <c r="B190" s="12"/>
      <c r="C190" s="2"/>
      <c r="D190" s="2"/>
      <c r="E190" s="2">
        <f>0.09*Table136[[#This Row],[Estimated Sell Price]]</f>
        <v>0</v>
      </c>
      <c r="F190" s="2"/>
      <c r="G190" s="2">
        <f>Table136[[#This Row],[Estimated Sell Price]]-Table136[[#This Row],[eBay Fee (9%)]]-Table136[[#This Row],[Parts]]-Table136[[#This Row],[Cost]]-Table136[[#This Row],[Postage]]</f>
        <v>0</v>
      </c>
      <c r="H190" s="9"/>
      <c r="I190" s="9"/>
      <c r="J190" s="9">
        <f>SUM(Table136[[#This Row],[Actual eBay Sell Price (inc fees)]]-Table136[[#This Row],[Parts]]-Table136[[#This Row],[Cost]]-Table136[[#This Row],[Postage]])</f>
        <v>0</v>
      </c>
    </row>
    <row r="191" spans="1:10" x14ac:dyDescent="0.25">
      <c r="A191" s="8"/>
      <c r="B191" s="12"/>
      <c r="C191" s="2"/>
      <c r="D191" s="2"/>
      <c r="E191" s="2">
        <f>0.09*Table136[[#This Row],[Estimated Sell Price]]</f>
        <v>0</v>
      </c>
      <c r="F191" s="2"/>
      <c r="G191" s="2">
        <f>Table136[[#This Row],[Estimated Sell Price]]-Table136[[#This Row],[eBay Fee (9%)]]-Table136[[#This Row],[Parts]]-Table136[[#This Row],[Cost]]-Table136[[#This Row],[Postage]]</f>
        <v>0</v>
      </c>
      <c r="H191" s="9"/>
      <c r="I191" s="9"/>
      <c r="J191" s="9">
        <f>SUM(Table136[[#This Row],[Actual eBay Sell Price (inc fees)]]-Table136[[#This Row],[Parts]]-Table136[[#This Row],[Cost]]-Table136[[#This Row],[Postage]])</f>
        <v>0</v>
      </c>
    </row>
    <row r="192" spans="1:10" x14ac:dyDescent="0.25">
      <c r="A192" s="8"/>
      <c r="B192" s="12"/>
      <c r="C192" s="2"/>
      <c r="D192" s="2"/>
      <c r="E192" s="2">
        <f>0.09*Table136[[#This Row],[Estimated Sell Price]]</f>
        <v>0</v>
      </c>
      <c r="F192" s="2"/>
      <c r="G192" s="2">
        <f>Table136[[#This Row],[Estimated Sell Price]]-Table136[[#This Row],[eBay Fee (9%)]]-Table136[[#This Row],[Parts]]-Table136[[#This Row],[Cost]]-Table136[[#This Row],[Postage]]</f>
        <v>0</v>
      </c>
      <c r="H192" s="9"/>
      <c r="I192" s="9"/>
      <c r="J192" s="9">
        <f>SUM(Table136[[#This Row],[Actual eBay Sell Price (inc fees)]]-Table136[[#This Row],[Parts]]-Table136[[#This Row],[Cost]]-Table136[[#This Row],[Postage]])</f>
        <v>0</v>
      </c>
    </row>
    <row r="193" spans="1:10" x14ac:dyDescent="0.25">
      <c r="A193" s="8"/>
      <c r="B193" s="12"/>
      <c r="C193" s="2"/>
      <c r="D193" s="2"/>
      <c r="E193" s="2">
        <f>0.09*Table136[[#This Row],[Estimated Sell Price]]</f>
        <v>0</v>
      </c>
      <c r="F193" s="2"/>
      <c r="G193" s="2">
        <f>Table136[[#This Row],[Estimated Sell Price]]-Table136[[#This Row],[eBay Fee (9%)]]-Table136[[#This Row],[Parts]]-Table136[[#This Row],[Cost]]-Table136[[#This Row],[Postage]]</f>
        <v>0</v>
      </c>
      <c r="H193" s="9"/>
      <c r="I193" s="9"/>
      <c r="J193" s="9">
        <f>SUM(Table136[[#This Row],[Actual eBay Sell Price (inc fees)]]-Table136[[#This Row],[Parts]]-Table136[[#This Row],[Cost]]-Table136[[#This Row],[Postage]])</f>
        <v>0</v>
      </c>
    </row>
    <row r="194" spans="1:10" x14ac:dyDescent="0.25">
      <c r="A194" s="8"/>
      <c r="B194" s="12"/>
      <c r="C194" s="2"/>
      <c r="D194" s="2"/>
      <c r="E194" s="2">
        <f>0.09*Table136[[#This Row],[Estimated Sell Price]]</f>
        <v>0</v>
      </c>
      <c r="F194" s="2"/>
      <c r="G194" s="2">
        <f>Table136[[#This Row],[Estimated Sell Price]]-Table136[[#This Row],[eBay Fee (9%)]]-Table136[[#This Row],[Parts]]-Table136[[#This Row],[Cost]]-Table136[[#This Row],[Postage]]</f>
        <v>0</v>
      </c>
      <c r="H194" s="9"/>
      <c r="I194" s="9"/>
      <c r="J194" s="9">
        <f>SUM(Table136[[#This Row],[Actual eBay Sell Price (inc fees)]]-Table136[[#This Row],[Parts]]-Table136[[#This Row],[Cost]]-Table136[[#This Row],[Postage]])</f>
        <v>0</v>
      </c>
    </row>
    <row r="195" spans="1:10" x14ac:dyDescent="0.25">
      <c r="A195" s="8"/>
      <c r="B195" s="12"/>
      <c r="C195" s="2"/>
      <c r="D195" s="2"/>
      <c r="E195" s="2">
        <f>0.09*Table136[[#This Row],[Estimated Sell Price]]</f>
        <v>0</v>
      </c>
      <c r="F195" s="2"/>
      <c r="G195" s="2">
        <f>Table136[[#This Row],[Estimated Sell Price]]-Table136[[#This Row],[eBay Fee (9%)]]-Table136[[#This Row],[Parts]]-Table136[[#This Row],[Cost]]-Table136[[#This Row],[Postage]]</f>
        <v>0</v>
      </c>
      <c r="H195" s="9"/>
      <c r="I195" s="9"/>
      <c r="J195" s="9">
        <f>SUM(Table136[[#This Row],[Actual eBay Sell Price (inc fees)]]-Table136[[#This Row],[Parts]]-Table136[[#This Row],[Cost]]-Table136[[#This Row],[Postage]])</f>
        <v>0</v>
      </c>
    </row>
    <row r="196" spans="1:10" x14ac:dyDescent="0.25">
      <c r="A196" s="8"/>
      <c r="B196" s="12"/>
      <c r="C196" s="2"/>
      <c r="D196" s="2"/>
      <c r="E196" s="2">
        <f>0.09*Table136[[#This Row],[Estimated Sell Price]]</f>
        <v>0</v>
      </c>
      <c r="F196" s="2"/>
      <c r="G196" s="2">
        <f>Table136[[#This Row],[Estimated Sell Price]]-Table136[[#This Row],[eBay Fee (9%)]]-Table136[[#This Row],[Parts]]-Table136[[#This Row],[Cost]]-Table136[[#This Row],[Postage]]</f>
        <v>0</v>
      </c>
      <c r="H196" s="9"/>
      <c r="I196" s="9"/>
      <c r="J196" s="9">
        <f>SUM(Table136[[#This Row],[Actual eBay Sell Price (inc fees)]]-Table136[[#This Row],[Parts]]-Table136[[#This Row],[Cost]]-Table136[[#This Row],[Postage]])</f>
        <v>0</v>
      </c>
    </row>
    <row r="197" spans="1:10" x14ac:dyDescent="0.25">
      <c r="A197" s="8"/>
      <c r="B197" s="12"/>
      <c r="C197" s="2"/>
      <c r="D197" s="2"/>
      <c r="E197" s="2">
        <f>0.09*Table136[[#This Row],[Estimated Sell Price]]</f>
        <v>0</v>
      </c>
      <c r="F197" s="2"/>
      <c r="G197" s="2">
        <f>Table136[[#This Row],[Estimated Sell Price]]-Table136[[#This Row],[eBay Fee (9%)]]-Table136[[#This Row],[Parts]]-Table136[[#This Row],[Cost]]-Table136[[#This Row],[Postage]]</f>
        <v>0</v>
      </c>
      <c r="H197" s="9"/>
      <c r="I197" s="9"/>
      <c r="J197" s="9">
        <f>SUM(Table136[[#This Row],[Actual eBay Sell Price (inc fees)]]-Table136[[#This Row],[Parts]]-Table136[[#This Row],[Cost]]-Table136[[#This Row],[Postage]])</f>
        <v>0</v>
      </c>
    </row>
    <row r="198" spans="1:10" x14ac:dyDescent="0.25">
      <c r="A198" s="8"/>
      <c r="B198" s="12"/>
      <c r="C198" s="2"/>
      <c r="D198" s="2"/>
      <c r="E198" s="2">
        <f>0.09*Table136[[#This Row],[Estimated Sell Price]]</f>
        <v>0</v>
      </c>
      <c r="F198" s="2"/>
      <c r="G198" s="2">
        <f>Table136[[#This Row],[Estimated Sell Price]]-Table136[[#This Row],[eBay Fee (9%)]]-Table136[[#This Row],[Parts]]-Table136[[#This Row],[Cost]]-Table136[[#This Row],[Postage]]</f>
        <v>0</v>
      </c>
      <c r="H198" s="9"/>
      <c r="I198" s="9"/>
      <c r="J198" s="9">
        <f>SUM(Table136[[#This Row],[Actual eBay Sell Price (inc fees)]]-Table136[[#This Row],[Parts]]-Table136[[#This Row],[Cost]]-Table136[[#This Row],[Postage]])</f>
        <v>0</v>
      </c>
    </row>
    <row r="199" spans="1:10" x14ac:dyDescent="0.25">
      <c r="A199" s="8"/>
      <c r="B199" s="12"/>
      <c r="C199" s="2"/>
      <c r="D199" s="2"/>
      <c r="E199" s="2">
        <f>0.09*Table136[[#This Row],[Estimated Sell Price]]</f>
        <v>0</v>
      </c>
      <c r="F199" s="2"/>
      <c r="G199" s="2">
        <f>Table136[[#This Row],[Estimated Sell Price]]-Table136[[#This Row],[eBay Fee (9%)]]-Table136[[#This Row],[Parts]]-Table136[[#This Row],[Cost]]-Table136[[#This Row],[Postage]]</f>
        <v>0</v>
      </c>
      <c r="H199" s="9"/>
      <c r="I199" s="9"/>
      <c r="J199" s="9">
        <f>SUM(Table136[[#This Row],[Actual eBay Sell Price (inc fees)]]-Table136[[#This Row],[Parts]]-Table136[[#This Row],[Cost]]-Table136[[#This Row],[Postage]])</f>
        <v>0</v>
      </c>
    </row>
    <row r="200" spans="1:10" x14ac:dyDescent="0.25">
      <c r="A200" s="8"/>
      <c r="B200" s="12"/>
      <c r="C200" s="2"/>
      <c r="D200" s="2"/>
      <c r="E200" s="2">
        <f>0.09*Table136[[#This Row],[Estimated Sell Price]]</f>
        <v>0</v>
      </c>
      <c r="F200" s="2"/>
      <c r="G200" s="2">
        <f>Table136[[#This Row],[Estimated Sell Price]]-Table136[[#This Row],[eBay Fee (9%)]]-Table136[[#This Row],[Parts]]-Table136[[#This Row],[Cost]]-Table136[[#This Row],[Postage]]</f>
        <v>0</v>
      </c>
      <c r="H200" s="9"/>
      <c r="I200" s="9"/>
      <c r="J200" s="9">
        <f>SUM(Table136[[#This Row],[Actual eBay Sell Price (inc fees)]]-Table136[[#This Row],[Parts]]-Table136[[#This Row],[Cost]]-Table136[[#This Row],[Postage]])</f>
        <v>0</v>
      </c>
    </row>
    <row r="201" spans="1:10" x14ac:dyDescent="0.25">
      <c r="A201" s="8"/>
      <c r="B201" s="12"/>
      <c r="C201" s="2"/>
      <c r="D201" s="2"/>
      <c r="E201" s="2">
        <f>0.09*Table136[[#This Row],[Estimated Sell Price]]</f>
        <v>0</v>
      </c>
      <c r="F201" s="2"/>
      <c r="G201" s="2">
        <f>Table136[[#This Row],[Estimated Sell Price]]-Table136[[#This Row],[eBay Fee (9%)]]-Table136[[#This Row],[Parts]]-Table136[[#This Row],[Cost]]-Table136[[#This Row],[Postage]]</f>
        <v>0</v>
      </c>
      <c r="H201" s="9"/>
      <c r="I201" s="9"/>
      <c r="J201" s="9">
        <f>SUM(Table136[[#This Row],[Actual eBay Sell Price (inc fees)]]-Table136[[#This Row],[Parts]]-Table136[[#This Row],[Cost]]-Table136[[#This Row],[Postage]])</f>
        <v>0</v>
      </c>
    </row>
    <row r="202" spans="1:10" x14ac:dyDescent="0.25">
      <c r="A202" s="8"/>
      <c r="B202" s="12"/>
      <c r="C202" s="2"/>
      <c r="D202" s="2"/>
      <c r="E202" s="2">
        <f>0.09*Table136[[#This Row],[Estimated Sell Price]]</f>
        <v>0</v>
      </c>
      <c r="F202" s="2"/>
      <c r="G202" s="2">
        <f>Table136[[#This Row],[Estimated Sell Price]]-Table136[[#This Row],[eBay Fee (9%)]]-Table136[[#This Row],[Parts]]-Table136[[#This Row],[Cost]]-Table136[[#This Row],[Postage]]</f>
        <v>0</v>
      </c>
      <c r="H202" s="9"/>
      <c r="I202" s="9"/>
      <c r="J202" s="9">
        <f>SUM(Table136[[#This Row],[Actual eBay Sell Price (inc fees)]]-Table136[[#This Row],[Parts]]-Table136[[#This Row],[Cost]]-Table136[[#This Row],[Postage]])</f>
        <v>0</v>
      </c>
    </row>
    <row r="203" spans="1:10" x14ac:dyDescent="0.25">
      <c r="A203" s="8"/>
      <c r="B203" s="12"/>
      <c r="C203" s="2"/>
      <c r="D203" s="2"/>
      <c r="E203" s="2">
        <f>0.09*Table136[[#This Row],[Estimated Sell Price]]</f>
        <v>0</v>
      </c>
      <c r="F203" s="2"/>
      <c r="G203" s="2">
        <f>Table136[[#This Row],[Estimated Sell Price]]-Table136[[#This Row],[eBay Fee (9%)]]-Table136[[#This Row],[Parts]]-Table136[[#This Row],[Cost]]-Table136[[#This Row],[Postage]]</f>
        <v>0</v>
      </c>
      <c r="H203" s="9"/>
      <c r="I203" s="9"/>
      <c r="J203" s="9">
        <f>SUM(Table136[[#This Row],[Actual eBay Sell Price (inc fees)]]-Table136[[#This Row],[Parts]]-Table136[[#This Row],[Cost]]-Table136[[#This Row],[Postage]])</f>
        <v>0</v>
      </c>
    </row>
    <row r="204" spans="1:10" x14ac:dyDescent="0.25">
      <c r="A204" s="8"/>
      <c r="B204" s="12"/>
      <c r="C204" s="2"/>
      <c r="D204" s="2"/>
      <c r="E204" s="2">
        <f>0.09*Table136[[#This Row],[Estimated Sell Price]]</f>
        <v>0</v>
      </c>
      <c r="F204" s="2"/>
      <c r="G204" s="2">
        <f>Table136[[#This Row],[Estimated Sell Price]]-Table136[[#This Row],[eBay Fee (9%)]]-Table136[[#This Row],[Parts]]-Table136[[#This Row],[Cost]]-Table136[[#This Row],[Postage]]</f>
        <v>0</v>
      </c>
      <c r="H204" s="9"/>
      <c r="I204" s="9"/>
      <c r="J204" s="9">
        <f>SUM(Table136[[#This Row],[Actual eBay Sell Price (inc fees)]]-Table136[[#This Row],[Parts]]-Table136[[#This Row],[Cost]]-Table136[[#This Row],[Postage]])</f>
        <v>0</v>
      </c>
    </row>
    <row r="205" spans="1:10" x14ac:dyDescent="0.25">
      <c r="A205" s="8"/>
      <c r="B205" s="12"/>
      <c r="C205" s="2"/>
      <c r="D205" s="2"/>
      <c r="E205" s="2">
        <f>0.09*Table136[[#This Row],[Estimated Sell Price]]</f>
        <v>0</v>
      </c>
      <c r="F205" s="2"/>
      <c r="G205" s="2">
        <f>Table136[[#This Row],[Estimated Sell Price]]-Table136[[#This Row],[eBay Fee (9%)]]-Table136[[#This Row],[Parts]]-Table136[[#This Row],[Cost]]-Table136[[#This Row],[Postage]]</f>
        <v>0</v>
      </c>
      <c r="H205" s="9"/>
      <c r="I205" s="9"/>
      <c r="J205" s="9">
        <f>SUM(Table136[[#This Row],[Actual eBay Sell Price (inc fees)]]-Table136[[#This Row],[Parts]]-Table136[[#This Row],[Cost]]-Table136[[#This Row],[Postage]])</f>
        <v>0</v>
      </c>
    </row>
    <row r="206" spans="1:10" x14ac:dyDescent="0.25">
      <c r="A206" s="8"/>
      <c r="B206" s="12"/>
      <c r="C206" s="2"/>
      <c r="D206" s="2"/>
      <c r="E206" s="2">
        <f>0.09*Table136[[#This Row],[Estimated Sell Price]]</f>
        <v>0</v>
      </c>
      <c r="F206" s="2"/>
      <c r="G206" s="2">
        <f>Table136[[#This Row],[Estimated Sell Price]]-Table136[[#This Row],[eBay Fee (9%)]]-Table136[[#This Row],[Parts]]-Table136[[#This Row],[Cost]]-Table136[[#This Row],[Postage]]</f>
        <v>0</v>
      </c>
      <c r="H206" s="9"/>
      <c r="I206" s="9"/>
      <c r="J206" s="9">
        <f>SUM(Table136[[#This Row],[Actual eBay Sell Price (inc fees)]]-Table136[[#This Row],[Parts]]-Table136[[#This Row],[Cost]]-Table136[[#This Row],[Postage]])</f>
        <v>0</v>
      </c>
    </row>
    <row r="207" spans="1:10" x14ac:dyDescent="0.25">
      <c r="A207" s="8"/>
      <c r="B207" s="12"/>
      <c r="C207" s="2"/>
      <c r="D207" s="2"/>
      <c r="E207" s="2">
        <f>0.09*Table136[[#This Row],[Estimated Sell Price]]</f>
        <v>0</v>
      </c>
      <c r="F207" s="2"/>
      <c r="G207" s="2">
        <f>Table136[[#This Row],[Estimated Sell Price]]-Table136[[#This Row],[eBay Fee (9%)]]-Table136[[#This Row],[Parts]]-Table136[[#This Row],[Cost]]-Table136[[#This Row],[Postage]]</f>
        <v>0</v>
      </c>
      <c r="H207" s="9"/>
      <c r="I207" s="9"/>
      <c r="J207" s="9">
        <f>SUM(Table136[[#This Row],[Actual eBay Sell Price (inc fees)]]-Table136[[#This Row],[Parts]]-Table136[[#This Row],[Cost]]-Table136[[#This Row],[Postage]])</f>
        <v>0</v>
      </c>
    </row>
    <row r="208" spans="1:10" x14ac:dyDescent="0.25">
      <c r="A208" s="8"/>
      <c r="B208" s="12"/>
      <c r="C208" s="2"/>
      <c r="D208" s="2"/>
      <c r="E208" s="2">
        <f>0.09*Table136[[#This Row],[Estimated Sell Price]]</f>
        <v>0</v>
      </c>
      <c r="F208" s="2"/>
      <c r="G208" s="2">
        <f>Table136[[#This Row],[Estimated Sell Price]]-Table136[[#This Row],[eBay Fee (9%)]]-Table136[[#This Row],[Parts]]-Table136[[#This Row],[Cost]]-Table136[[#This Row],[Postage]]</f>
        <v>0</v>
      </c>
      <c r="H208" s="9"/>
      <c r="I208" s="9"/>
      <c r="J208" s="9">
        <f>SUM(Table136[[#This Row],[Actual eBay Sell Price (inc fees)]]-Table136[[#This Row],[Parts]]-Table136[[#This Row],[Cost]]-Table136[[#This Row],[Postage]])</f>
        <v>0</v>
      </c>
    </row>
    <row r="209" spans="1:10" x14ac:dyDescent="0.25">
      <c r="A209" s="8"/>
      <c r="B209" s="12"/>
      <c r="C209" s="2"/>
      <c r="D209" s="2"/>
      <c r="E209" s="2">
        <f>0.09*Table136[[#This Row],[Estimated Sell Price]]</f>
        <v>0</v>
      </c>
      <c r="F209" s="2"/>
      <c r="G209" s="2">
        <f>Table136[[#This Row],[Estimated Sell Price]]-Table136[[#This Row],[eBay Fee (9%)]]-Table136[[#This Row],[Parts]]-Table136[[#This Row],[Cost]]-Table136[[#This Row],[Postage]]</f>
        <v>0</v>
      </c>
      <c r="H209" s="9"/>
      <c r="I209" s="9"/>
      <c r="J209" s="9">
        <f>SUM(Table136[[#This Row],[Actual eBay Sell Price (inc fees)]]-Table136[[#This Row],[Parts]]-Table136[[#This Row],[Cost]]-Table136[[#This Row],[Postage]])</f>
        <v>0</v>
      </c>
    </row>
    <row r="210" spans="1:10" x14ac:dyDescent="0.25">
      <c r="A210" s="8"/>
      <c r="B210" s="12"/>
      <c r="C210" s="2"/>
      <c r="D210" s="2"/>
      <c r="E210" s="2">
        <f>0.09*Table136[[#This Row],[Estimated Sell Price]]</f>
        <v>0</v>
      </c>
      <c r="F210" s="2"/>
      <c r="G210" s="2">
        <f>Table136[[#This Row],[Estimated Sell Price]]-Table136[[#This Row],[eBay Fee (9%)]]-Table136[[#This Row],[Parts]]-Table136[[#This Row],[Cost]]-Table136[[#This Row],[Postage]]</f>
        <v>0</v>
      </c>
      <c r="H210" s="9"/>
      <c r="I210" s="9"/>
      <c r="J210" s="9">
        <f>SUM(Table136[[#This Row],[Actual eBay Sell Price (inc fees)]]-Table136[[#This Row],[Parts]]-Table136[[#This Row],[Cost]]-Table136[[#This Row],[Postage]])</f>
        <v>0</v>
      </c>
    </row>
    <row r="211" spans="1:10" x14ac:dyDescent="0.25">
      <c r="A211" s="8"/>
      <c r="B211" s="12"/>
      <c r="C211" s="2"/>
      <c r="D211" s="2"/>
      <c r="E211" s="2">
        <f>0.09*Table136[[#This Row],[Estimated Sell Price]]</f>
        <v>0</v>
      </c>
      <c r="F211" s="2"/>
      <c r="G211" s="2">
        <f>Table136[[#This Row],[Estimated Sell Price]]-Table136[[#This Row],[eBay Fee (9%)]]-Table136[[#This Row],[Parts]]-Table136[[#This Row],[Cost]]-Table136[[#This Row],[Postage]]</f>
        <v>0</v>
      </c>
      <c r="H211" s="9"/>
      <c r="I211" s="9"/>
      <c r="J211" s="9">
        <f>SUM(Table136[[#This Row],[Actual eBay Sell Price (inc fees)]]-Table136[[#This Row],[Parts]]-Table136[[#This Row],[Cost]]-Table136[[#This Row],[Postage]])</f>
        <v>0</v>
      </c>
    </row>
    <row r="212" spans="1:10" x14ac:dyDescent="0.25">
      <c r="A212" s="8"/>
      <c r="B212" s="12"/>
      <c r="C212" s="2"/>
      <c r="D212" s="2"/>
      <c r="E212" s="2">
        <f>0.09*Table136[[#This Row],[Estimated Sell Price]]</f>
        <v>0</v>
      </c>
      <c r="F212" s="2"/>
      <c r="G212" s="2">
        <f>Table136[[#This Row],[Estimated Sell Price]]-Table136[[#This Row],[eBay Fee (9%)]]-Table136[[#This Row],[Parts]]-Table136[[#This Row],[Cost]]-Table136[[#This Row],[Postage]]</f>
        <v>0</v>
      </c>
      <c r="H212" s="9"/>
      <c r="I212" s="9"/>
      <c r="J212" s="9">
        <f>SUM(Table136[[#This Row],[Actual eBay Sell Price (inc fees)]]-Table136[[#This Row],[Parts]]-Table136[[#This Row],[Cost]]-Table136[[#This Row],[Postage]])</f>
        <v>0</v>
      </c>
    </row>
    <row r="213" spans="1:10" x14ac:dyDescent="0.25">
      <c r="A213" s="8"/>
      <c r="B213" s="12"/>
      <c r="C213" s="2"/>
      <c r="D213" s="2"/>
      <c r="E213" s="2">
        <f>0.09*Table136[[#This Row],[Estimated Sell Price]]</f>
        <v>0</v>
      </c>
      <c r="F213" s="2"/>
      <c r="G213" s="2">
        <f>Table136[[#This Row],[Estimated Sell Price]]-Table136[[#This Row],[eBay Fee (9%)]]-Table136[[#This Row],[Parts]]-Table136[[#This Row],[Cost]]-Table136[[#This Row],[Postage]]</f>
        <v>0</v>
      </c>
      <c r="H213" s="9"/>
      <c r="I213" s="9"/>
      <c r="J213" s="9">
        <f>SUM(Table136[[#This Row],[Actual eBay Sell Price (inc fees)]]-Table136[[#This Row],[Parts]]-Table136[[#This Row],[Cost]]-Table136[[#This Row],[Postage]])</f>
        <v>0</v>
      </c>
    </row>
    <row r="214" spans="1:10" x14ac:dyDescent="0.25">
      <c r="A214" s="8"/>
      <c r="B214" s="12"/>
      <c r="C214" s="2"/>
      <c r="D214" s="2"/>
      <c r="E214" s="2">
        <f>0.09*Table136[[#This Row],[Estimated Sell Price]]</f>
        <v>0</v>
      </c>
      <c r="F214" s="2"/>
      <c r="G214" s="2">
        <f>Table136[[#This Row],[Estimated Sell Price]]-Table136[[#This Row],[eBay Fee (9%)]]-Table136[[#This Row],[Parts]]-Table136[[#This Row],[Cost]]-Table136[[#This Row],[Postage]]</f>
        <v>0</v>
      </c>
      <c r="H214" s="9"/>
      <c r="I214" s="9"/>
      <c r="J214" s="9">
        <f>SUM(Table136[[#This Row],[Actual eBay Sell Price (inc fees)]]-Table136[[#This Row],[Parts]]-Table136[[#This Row],[Cost]]-Table136[[#This Row],[Postage]])</f>
        <v>0</v>
      </c>
    </row>
    <row r="215" spans="1:10" x14ac:dyDescent="0.25">
      <c r="A215" s="8"/>
      <c r="B215" s="12"/>
      <c r="C215" s="2"/>
      <c r="D215" s="2"/>
      <c r="E215" s="2">
        <f>0.09*Table136[[#This Row],[Estimated Sell Price]]</f>
        <v>0</v>
      </c>
      <c r="F215" s="2"/>
      <c r="G215" s="2">
        <f>Table136[[#This Row],[Estimated Sell Price]]-Table136[[#This Row],[eBay Fee (9%)]]-Table136[[#This Row],[Parts]]-Table136[[#This Row],[Cost]]-Table136[[#This Row],[Postage]]</f>
        <v>0</v>
      </c>
      <c r="H215" s="9"/>
      <c r="I215" s="9"/>
      <c r="J215" s="9">
        <f>SUM(Table136[[#This Row],[Actual eBay Sell Price (inc fees)]]-Table136[[#This Row],[Parts]]-Table136[[#This Row],[Cost]]-Table136[[#This Row],[Postage]])</f>
        <v>0</v>
      </c>
    </row>
    <row r="216" spans="1:10" x14ac:dyDescent="0.25">
      <c r="A216" s="8"/>
      <c r="B216" s="12"/>
      <c r="C216" s="2"/>
      <c r="D216" s="2"/>
      <c r="E216" s="2">
        <f>0.09*Table136[[#This Row],[Estimated Sell Price]]</f>
        <v>0</v>
      </c>
      <c r="F216" s="2"/>
      <c r="G216" s="2">
        <f>Table136[[#This Row],[Estimated Sell Price]]-Table136[[#This Row],[eBay Fee (9%)]]-Table136[[#This Row],[Parts]]-Table136[[#This Row],[Cost]]-Table136[[#This Row],[Postage]]</f>
        <v>0</v>
      </c>
      <c r="H216" s="9"/>
      <c r="I216" s="9"/>
      <c r="J216" s="9">
        <f>SUM(Table136[[#This Row],[Actual eBay Sell Price (inc fees)]]-Table136[[#This Row],[Parts]]-Table136[[#This Row],[Cost]]-Table136[[#This Row],[Postage]])</f>
        <v>0</v>
      </c>
    </row>
    <row r="217" spans="1:10" x14ac:dyDescent="0.25">
      <c r="A217" s="8"/>
      <c r="B217" s="12"/>
      <c r="C217" s="2"/>
      <c r="D217" s="2"/>
      <c r="E217" s="2">
        <f>0.09*Table136[[#This Row],[Estimated Sell Price]]</f>
        <v>0</v>
      </c>
      <c r="F217" s="2"/>
      <c r="G217" s="2">
        <f>Table136[[#This Row],[Estimated Sell Price]]-Table136[[#This Row],[eBay Fee (9%)]]-Table136[[#This Row],[Parts]]-Table136[[#This Row],[Cost]]-Table136[[#This Row],[Postage]]</f>
        <v>0</v>
      </c>
      <c r="H217" s="9"/>
      <c r="I217" s="9"/>
      <c r="J217" s="9">
        <f>SUM(Table136[[#This Row],[Actual eBay Sell Price (inc fees)]]-Table136[[#This Row],[Parts]]-Table136[[#This Row],[Cost]]-Table136[[#This Row],[Postage]])</f>
        <v>0</v>
      </c>
    </row>
    <row r="218" spans="1:10" x14ac:dyDescent="0.25">
      <c r="A218" s="8"/>
      <c r="B218" s="12"/>
      <c r="C218" s="2"/>
      <c r="D218" s="2"/>
      <c r="E218" s="2">
        <f>0.09*Table136[[#This Row],[Estimated Sell Price]]</f>
        <v>0</v>
      </c>
      <c r="F218" s="2"/>
      <c r="G218" s="2">
        <f>Table136[[#This Row],[Estimated Sell Price]]-Table136[[#This Row],[eBay Fee (9%)]]-Table136[[#This Row],[Parts]]-Table136[[#This Row],[Cost]]-Table136[[#This Row],[Postage]]</f>
        <v>0</v>
      </c>
      <c r="H218" s="9"/>
      <c r="I218" s="9"/>
      <c r="J218" s="9">
        <f>SUM(Table136[[#This Row],[Actual eBay Sell Price (inc fees)]]-Table136[[#This Row],[Parts]]-Table136[[#This Row],[Cost]]-Table136[[#This Row],[Postage]])</f>
        <v>0</v>
      </c>
    </row>
    <row r="219" spans="1:10" x14ac:dyDescent="0.25">
      <c r="A219" s="8"/>
      <c r="B219" s="12"/>
      <c r="C219" s="2"/>
      <c r="D219" s="2"/>
      <c r="E219" s="2">
        <f>0.09*Table136[[#This Row],[Estimated Sell Price]]</f>
        <v>0</v>
      </c>
      <c r="F219" s="2"/>
      <c r="G219" s="2">
        <f>Table136[[#This Row],[Estimated Sell Price]]-Table136[[#This Row],[eBay Fee (9%)]]-Table136[[#This Row],[Parts]]-Table136[[#This Row],[Cost]]-Table136[[#This Row],[Postage]]</f>
        <v>0</v>
      </c>
      <c r="H219" s="9"/>
      <c r="I219" s="9"/>
      <c r="J219" s="9">
        <f>SUM(Table136[[#This Row],[Actual eBay Sell Price (inc fees)]]-Table136[[#This Row],[Parts]]-Table136[[#This Row],[Cost]]-Table136[[#This Row],[Postage]])</f>
        <v>0</v>
      </c>
    </row>
    <row r="220" spans="1:10" x14ac:dyDescent="0.25">
      <c r="A220" s="8"/>
      <c r="B220" s="12"/>
      <c r="C220" s="2"/>
      <c r="D220" s="2"/>
      <c r="E220" s="2">
        <f>0.09*Table136[[#This Row],[Estimated Sell Price]]</f>
        <v>0</v>
      </c>
      <c r="F220" s="2"/>
      <c r="G220" s="2">
        <f>Table136[[#This Row],[Estimated Sell Price]]-Table136[[#This Row],[eBay Fee (9%)]]-Table136[[#This Row],[Parts]]-Table136[[#This Row],[Cost]]-Table136[[#This Row],[Postage]]</f>
        <v>0</v>
      </c>
      <c r="H220" s="9"/>
      <c r="I220" s="9"/>
      <c r="J220" s="9">
        <f>SUM(Table136[[#This Row],[Actual eBay Sell Price (inc fees)]]-Table136[[#This Row],[Parts]]-Table136[[#This Row],[Cost]]-Table136[[#This Row],[Postage]])</f>
        <v>0</v>
      </c>
    </row>
    <row r="221" spans="1:10" x14ac:dyDescent="0.25">
      <c r="A221" s="8"/>
      <c r="B221" s="12"/>
      <c r="C221" s="2"/>
      <c r="D221" s="2"/>
      <c r="E221" s="2">
        <f>0.09*Table136[[#This Row],[Estimated Sell Price]]</f>
        <v>0</v>
      </c>
      <c r="F221" s="2"/>
      <c r="G221" s="2">
        <f>Table136[[#This Row],[Estimated Sell Price]]-Table136[[#This Row],[eBay Fee (9%)]]-Table136[[#This Row],[Parts]]-Table136[[#This Row],[Cost]]-Table136[[#This Row],[Postage]]</f>
        <v>0</v>
      </c>
      <c r="H221" s="9"/>
      <c r="I221" s="9"/>
      <c r="J221" s="9">
        <f>SUM(Table136[[#This Row],[Actual eBay Sell Price (inc fees)]]-Table136[[#This Row],[Parts]]-Table136[[#This Row],[Cost]]-Table136[[#This Row],[Postage]])</f>
        <v>0</v>
      </c>
    </row>
    <row r="222" spans="1:10" x14ac:dyDescent="0.25">
      <c r="A222" s="8"/>
      <c r="B222" s="12"/>
      <c r="C222" s="2"/>
      <c r="D222" s="2"/>
      <c r="E222" s="2">
        <f>0.09*Table136[[#This Row],[Estimated Sell Price]]</f>
        <v>0</v>
      </c>
      <c r="F222" s="2"/>
      <c r="G222" s="2">
        <f>Table136[[#This Row],[Estimated Sell Price]]-Table136[[#This Row],[eBay Fee (9%)]]-Table136[[#This Row],[Parts]]-Table136[[#This Row],[Cost]]-Table136[[#This Row],[Postage]]</f>
        <v>0</v>
      </c>
      <c r="H222" s="9"/>
      <c r="I222" s="9"/>
      <c r="J222" s="9">
        <f>SUM(Table136[[#This Row],[Actual eBay Sell Price (inc fees)]]-Table136[[#This Row],[Parts]]-Table136[[#This Row],[Cost]]-Table136[[#This Row],[Postage]])</f>
        <v>0</v>
      </c>
    </row>
    <row r="223" spans="1:10" x14ac:dyDescent="0.25">
      <c r="A223" s="8"/>
      <c r="B223" s="12"/>
      <c r="C223" s="2"/>
      <c r="D223" s="2"/>
      <c r="E223" s="2">
        <f>0.09*Table136[[#This Row],[Estimated Sell Price]]</f>
        <v>0</v>
      </c>
      <c r="F223" s="2"/>
      <c r="G223" s="2">
        <f>Table136[[#This Row],[Estimated Sell Price]]-Table136[[#This Row],[eBay Fee (9%)]]-Table136[[#This Row],[Parts]]-Table136[[#This Row],[Cost]]-Table136[[#This Row],[Postage]]</f>
        <v>0</v>
      </c>
      <c r="H223" s="9"/>
      <c r="I223" s="9"/>
      <c r="J223" s="9">
        <f>SUM(Table136[[#This Row],[Actual eBay Sell Price (inc fees)]]-Table136[[#This Row],[Parts]]-Table136[[#This Row],[Cost]]-Table136[[#This Row],[Postage]])</f>
        <v>0</v>
      </c>
    </row>
    <row r="224" spans="1:10" x14ac:dyDescent="0.25">
      <c r="A224" s="8"/>
      <c r="B224" s="12"/>
      <c r="C224" s="2"/>
      <c r="D224" s="2"/>
      <c r="E224" s="2">
        <f>0.09*Table136[[#This Row],[Estimated Sell Price]]</f>
        <v>0</v>
      </c>
      <c r="F224" s="2"/>
      <c r="G224" s="2">
        <f>Table136[[#This Row],[Estimated Sell Price]]-Table136[[#This Row],[eBay Fee (9%)]]-Table136[[#This Row],[Parts]]-Table136[[#This Row],[Cost]]-Table136[[#This Row],[Postage]]</f>
        <v>0</v>
      </c>
      <c r="H224" s="9"/>
      <c r="I224" s="9"/>
      <c r="J224" s="9">
        <f>SUM(Table136[[#This Row],[Actual eBay Sell Price (inc fees)]]-Table136[[#This Row],[Parts]]-Table136[[#This Row],[Cost]]-Table136[[#This Row],[Postage]])</f>
        <v>0</v>
      </c>
    </row>
    <row r="225" spans="1:10" x14ac:dyDescent="0.25">
      <c r="A225" s="8"/>
      <c r="B225" s="12"/>
      <c r="C225" s="2"/>
      <c r="D225" s="2"/>
      <c r="E225" s="2">
        <f>0.09*Table136[[#This Row],[Estimated Sell Price]]</f>
        <v>0</v>
      </c>
      <c r="F225" s="2"/>
      <c r="G225" s="2">
        <f>Table136[[#This Row],[Estimated Sell Price]]-Table136[[#This Row],[eBay Fee (9%)]]-Table136[[#This Row],[Parts]]-Table136[[#This Row],[Cost]]-Table136[[#This Row],[Postage]]</f>
        <v>0</v>
      </c>
      <c r="H225" s="9"/>
      <c r="I225" s="9"/>
      <c r="J225" s="9">
        <f>SUM(Table136[[#This Row],[Actual eBay Sell Price (inc fees)]]-Table136[[#This Row],[Parts]]-Table136[[#This Row],[Cost]]-Table136[[#This Row],[Postage]])</f>
        <v>0</v>
      </c>
    </row>
    <row r="226" spans="1:10" x14ac:dyDescent="0.25">
      <c r="A226" s="8"/>
      <c r="B226" s="12"/>
      <c r="C226" s="2"/>
      <c r="D226" s="2"/>
      <c r="E226" s="2">
        <f>0.09*Table136[[#This Row],[Estimated Sell Price]]</f>
        <v>0</v>
      </c>
      <c r="F226" s="2"/>
      <c r="G226" s="2">
        <f>Table136[[#This Row],[Estimated Sell Price]]-Table136[[#This Row],[eBay Fee (9%)]]-Table136[[#This Row],[Parts]]-Table136[[#This Row],[Cost]]-Table136[[#This Row],[Postage]]</f>
        <v>0</v>
      </c>
      <c r="H226" s="9"/>
      <c r="I226" s="9"/>
      <c r="J226" s="9">
        <f>SUM(Table136[[#This Row],[Actual eBay Sell Price (inc fees)]]-Table136[[#This Row],[Parts]]-Table136[[#This Row],[Cost]]-Table136[[#This Row],[Postage]])</f>
        <v>0</v>
      </c>
    </row>
    <row r="227" spans="1:10" x14ac:dyDescent="0.25">
      <c r="A227" s="8"/>
      <c r="B227" s="12"/>
      <c r="C227" s="2"/>
      <c r="D227" s="2"/>
      <c r="E227" s="2">
        <f>0.09*Table136[[#This Row],[Estimated Sell Price]]</f>
        <v>0</v>
      </c>
      <c r="F227" s="2"/>
      <c r="G227" s="2">
        <f>Table136[[#This Row],[Estimated Sell Price]]-Table136[[#This Row],[eBay Fee (9%)]]-Table136[[#This Row],[Parts]]-Table136[[#This Row],[Cost]]-Table136[[#This Row],[Postage]]</f>
        <v>0</v>
      </c>
      <c r="H227" s="9"/>
      <c r="I227" s="9"/>
      <c r="J227" s="9">
        <f>SUM(Table136[[#This Row],[Actual eBay Sell Price (inc fees)]]-Table136[[#This Row],[Parts]]-Table136[[#This Row],[Cost]]-Table136[[#This Row],[Postage]])</f>
        <v>0</v>
      </c>
    </row>
    <row r="228" spans="1:10" x14ac:dyDescent="0.25">
      <c r="A228" s="8"/>
      <c r="B228" s="12"/>
      <c r="C228" s="2"/>
      <c r="D228" s="2"/>
      <c r="E228" s="2">
        <f>0.09*Table136[[#This Row],[Estimated Sell Price]]</f>
        <v>0</v>
      </c>
      <c r="F228" s="2"/>
      <c r="G228" s="2">
        <f>Table136[[#This Row],[Estimated Sell Price]]-Table136[[#This Row],[eBay Fee (9%)]]-Table136[[#This Row],[Parts]]-Table136[[#This Row],[Cost]]-Table136[[#This Row],[Postage]]</f>
        <v>0</v>
      </c>
      <c r="H228" s="9"/>
      <c r="I228" s="9"/>
      <c r="J228" s="9">
        <f>SUM(Table136[[#This Row],[Actual eBay Sell Price (inc fees)]]-Table136[[#This Row],[Parts]]-Table136[[#This Row],[Cost]]-Table136[[#This Row],[Postage]])</f>
        <v>0</v>
      </c>
    </row>
    <row r="229" spans="1:10" x14ac:dyDescent="0.25">
      <c r="A229" s="8"/>
      <c r="B229" s="12"/>
      <c r="C229" s="2"/>
      <c r="D229" s="2"/>
      <c r="E229" s="2">
        <f>0.09*Table136[[#This Row],[Estimated Sell Price]]</f>
        <v>0</v>
      </c>
      <c r="F229" s="2"/>
      <c r="G229" s="2">
        <f>Table136[[#This Row],[Estimated Sell Price]]-Table136[[#This Row],[eBay Fee (9%)]]-Table136[[#This Row],[Parts]]-Table136[[#This Row],[Cost]]-Table136[[#This Row],[Postage]]</f>
        <v>0</v>
      </c>
      <c r="H229" s="9"/>
      <c r="I229" s="9"/>
      <c r="J229" s="9">
        <f>SUM(Table136[[#This Row],[Actual eBay Sell Price (inc fees)]]-Table136[[#This Row],[Parts]]-Table136[[#This Row],[Cost]]-Table136[[#This Row],[Postage]])</f>
        <v>0</v>
      </c>
    </row>
    <row r="230" spans="1:10" x14ac:dyDescent="0.25">
      <c r="A230" s="8"/>
      <c r="B230" s="12"/>
      <c r="C230" s="2"/>
      <c r="D230" s="2"/>
      <c r="E230" s="2">
        <f>0.09*Table136[[#This Row],[Estimated Sell Price]]</f>
        <v>0</v>
      </c>
      <c r="F230" s="2"/>
      <c r="G230" s="2">
        <f>Table136[[#This Row],[Estimated Sell Price]]-Table136[[#This Row],[eBay Fee (9%)]]-Table136[[#This Row],[Parts]]-Table136[[#This Row],[Cost]]-Table136[[#This Row],[Postage]]</f>
        <v>0</v>
      </c>
      <c r="H230" s="9"/>
      <c r="I230" s="9"/>
      <c r="J230" s="9">
        <f>SUM(Table136[[#This Row],[Actual eBay Sell Price (inc fees)]]-Table136[[#This Row],[Parts]]-Table136[[#This Row],[Cost]]-Table136[[#This Row],[Postage]])</f>
        <v>0</v>
      </c>
    </row>
    <row r="231" spans="1:10" x14ac:dyDescent="0.25">
      <c r="A231" s="8"/>
      <c r="B231" s="12"/>
      <c r="C231" s="2"/>
      <c r="D231" s="2"/>
      <c r="E231" s="2">
        <f>0.09*Table136[[#This Row],[Estimated Sell Price]]</f>
        <v>0</v>
      </c>
      <c r="F231" s="2"/>
      <c r="G231" s="2">
        <f>Table136[[#This Row],[Estimated Sell Price]]-Table136[[#This Row],[eBay Fee (9%)]]-Table136[[#This Row],[Parts]]-Table136[[#This Row],[Cost]]-Table136[[#This Row],[Postage]]</f>
        <v>0</v>
      </c>
      <c r="H231" s="9"/>
      <c r="I231" s="9"/>
      <c r="J231" s="9">
        <f>SUM(Table136[[#This Row],[Actual eBay Sell Price (inc fees)]]-Table136[[#This Row],[Parts]]-Table136[[#This Row],[Cost]]-Table136[[#This Row],[Postage]])</f>
        <v>0</v>
      </c>
    </row>
    <row r="232" spans="1:10" x14ac:dyDescent="0.25">
      <c r="A232" s="8"/>
      <c r="B232" s="12"/>
      <c r="C232" s="2"/>
      <c r="D232" s="2"/>
      <c r="E232" s="2">
        <f>0.09*Table136[[#This Row],[Estimated Sell Price]]</f>
        <v>0</v>
      </c>
      <c r="F232" s="2"/>
      <c r="G232" s="2">
        <f>Table136[[#This Row],[Estimated Sell Price]]-Table136[[#This Row],[eBay Fee (9%)]]-Table136[[#This Row],[Parts]]-Table136[[#This Row],[Cost]]-Table136[[#This Row],[Postage]]</f>
        <v>0</v>
      </c>
      <c r="H232" s="9"/>
      <c r="I232" s="9"/>
      <c r="J232" s="9">
        <f>SUM(Table136[[#This Row],[Actual eBay Sell Price (inc fees)]]-Table136[[#This Row],[Parts]]-Table136[[#This Row],[Cost]]-Table136[[#This Row],[Postage]])</f>
        <v>0</v>
      </c>
    </row>
    <row r="233" spans="1:10" x14ac:dyDescent="0.25">
      <c r="A233" s="8"/>
      <c r="B233" s="12"/>
      <c r="C233" s="2"/>
      <c r="D233" s="2"/>
      <c r="E233" s="2">
        <f>0.09*Table136[[#This Row],[Estimated Sell Price]]</f>
        <v>0</v>
      </c>
      <c r="F233" s="2"/>
      <c r="G233" s="2">
        <f>Table136[[#This Row],[Estimated Sell Price]]-Table136[[#This Row],[eBay Fee (9%)]]-Table136[[#This Row],[Parts]]-Table136[[#This Row],[Cost]]-Table136[[#This Row],[Postage]]</f>
        <v>0</v>
      </c>
      <c r="H233" s="9"/>
      <c r="I233" s="9"/>
      <c r="J233" s="9">
        <f>SUM(Table136[[#This Row],[Actual eBay Sell Price (inc fees)]]-Table136[[#This Row],[Parts]]-Table136[[#This Row],[Cost]]-Table136[[#This Row],[Postage]])</f>
        <v>0</v>
      </c>
    </row>
    <row r="234" spans="1:10" x14ac:dyDescent="0.25">
      <c r="A234" s="8"/>
      <c r="B234" s="12"/>
      <c r="C234" s="2"/>
      <c r="D234" s="2"/>
      <c r="E234" s="2">
        <f>0.09*Table136[[#This Row],[Estimated Sell Price]]</f>
        <v>0</v>
      </c>
      <c r="F234" s="2"/>
      <c r="G234" s="2">
        <f>Table136[[#This Row],[Estimated Sell Price]]-Table136[[#This Row],[eBay Fee (9%)]]-Table136[[#This Row],[Parts]]-Table136[[#This Row],[Cost]]-Table136[[#This Row],[Postage]]</f>
        <v>0</v>
      </c>
      <c r="H234" s="9"/>
      <c r="I234" s="9"/>
      <c r="J234" s="9">
        <f>SUM(Table136[[#This Row],[Actual eBay Sell Price (inc fees)]]-Table136[[#This Row],[Parts]]-Table136[[#This Row],[Cost]]-Table136[[#This Row],[Postage]])</f>
        <v>0</v>
      </c>
    </row>
    <row r="235" spans="1:10" x14ac:dyDescent="0.25">
      <c r="A235" s="8"/>
      <c r="B235" s="12"/>
      <c r="C235" s="2"/>
      <c r="D235" s="2"/>
      <c r="E235" s="2">
        <f>0.09*Table136[[#This Row],[Estimated Sell Price]]</f>
        <v>0</v>
      </c>
      <c r="F235" s="2"/>
      <c r="G235" s="2">
        <f>Table136[[#This Row],[Estimated Sell Price]]-Table136[[#This Row],[eBay Fee (9%)]]-Table136[[#This Row],[Parts]]-Table136[[#This Row],[Cost]]-Table136[[#This Row],[Postage]]</f>
        <v>0</v>
      </c>
      <c r="H235" s="9"/>
      <c r="I235" s="9"/>
      <c r="J235" s="9">
        <f>SUM(Table136[[#This Row],[Actual eBay Sell Price (inc fees)]]-Table136[[#This Row],[Parts]]-Table136[[#This Row],[Cost]]-Table136[[#This Row],[Postage]])</f>
        <v>0</v>
      </c>
    </row>
    <row r="236" spans="1:10" x14ac:dyDescent="0.25">
      <c r="A236" s="8"/>
      <c r="B236" s="12"/>
      <c r="C236" s="2"/>
      <c r="D236" s="2"/>
      <c r="E236" s="2">
        <f>0.09*Table136[[#This Row],[Estimated Sell Price]]</f>
        <v>0</v>
      </c>
      <c r="F236" s="2"/>
      <c r="G236" s="2">
        <f>Table136[[#This Row],[Estimated Sell Price]]-Table136[[#This Row],[eBay Fee (9%)]]-Table136[[#This Row],[Parts]]-Table136[[#This Row],[Cost]]-Table136[[#This Row],[Postage]]</f>
        <v>0</v>
      </c>
      <c r="H236" s="9"/>
      <c r="I236" s="9"/>
      <c r="J236" s="9">
        <f>SUM(Table136[[#This Row],[Actual eBay Sell Price (inc fees)]]-Table136[[#This Row],[Parts]]-Table136[[#This Row],[Cost]]-Table136[[#This Row],[Postage]])</f>
        <v>0</v>
      </c>
    </row>
    <row r="237" spans="1:10" x14ac:dyDescent="0.25">
      <c r="A237" s="8"/>
      <c r="B237" s="12"/>
      <c r="C237" s="2"/>
      <c r="D237" s="2"/>
      <c r="E237" s="2">
        <f>0.09*Table136[[#This Row],[Estimated Sell Price]]</f>
        <v>0</v>
      </c>
      <c r="F237" s="2"/>
      <c r="G237" s="2">
        <f>Table136[[#This Row],[Estimated Sell Price]]-Table136[[#This Row],[eBay Fee (9%)]]-Table136[[#This Row],[Parts]]-Table136[[#This Row],[Cost]]-Table136[[#This Row],[Postage]]</f>
        <v>0</v>
      </c>
      <c r="H237" s="9"/>
      <c r="I237" s="9"/>
      <c r="J237" s="9">
        <f>SUM(Table136[[#This Row],[Actual eBay Sell Price (inc fees)]]-Table136[[#This Row],[Parts]]-Table136[[#This Row],[Cost]]-Table136[[#This Row],[Postage]])</f>
        <v>0</v>
      </c>
    </row>
    <row r="238" spans="1:10" x14ac:dyDescent="0.25">
      <c r="A238" s="8"/>
      <c r="B238" s="12"/>
      <c r="C238" s="2"/>
      <c r="D238" s="2"/>
      <c r="E238" s="2">
        <f>0.09*Table136[[#This Row],[Estimated Sell Price]]</f>
        <v>0</v>
      </c>
      <c r="F238" s="2"/>
      <c r="G238" s="2">
        <f>Table136[[#This Row],[Estimated Sell Price]]-Table136[[#This Row],[eBay Fee (9%)]]-Table136[[#This Row],[Parts]]-Table136[[#This Row],[Cost]]-Table136[[#This Row],[Postage]]</f>
        <v>0</v>
      </c>
      <c r="H238" s="9"/>
      <c r="I238" s="9"/>
      <c r="J238" s="9">
        <f>SUM(Table136[[#This Row],[Actual eBay Sell Price (inc fees)]]-Table136[[#This Row],[Parts]]-Table136[[#This Row],[Cost]]-Table136[[#This Row],[Postage]])</f>
        <v>0</v>
      </c>
    </row>
    <row r="239" spans="1:10" x14ac:dyDescent="0.25">
      <c r="A239" s="8"/>
      <c r="B239" s="12"/>
      <c r="C239" s="2"/>
      <c r="D239" s="2"/>
      <c r="E239" s="2">
        <f>0.09*Table136[[#This Row],[Estimated Sell Price]]</f>
        <v>0</v>
      </c>
      <c r="F239" s="2"/>
      <c r="G239" s="2">
        <f>Table136[[#This Row],[Estimated Sell Price]]-Table136[[#This Row],[eBay Fee (9%)]]-Table136[[#This Row],[Parts]]-Table136[[#This Row],[Cost]]-Table136[[#This Row],[Postage]]</f>
        <v>0</v>
      </c>
      <c r="H239" s="9"/>
      <c r="I239" s="9"/>
      <c r="J239" s="9">
        <f>SUM(Table136[[#This Row],[Actual eBay Sell Price (inc fees)]]-Table136[[#This Row],[Parts]]-Table136[[#This Row],[Cost]]-Table136[[#This Row],[Postage]])</f>
        <v>0</v>
      </c>
    </row>
    <row r="240" spans="1:10" x14ac:dyDescent="0.25">
      <c r="A240" s="8"/>
      <c r="B240" s="12"/>
      <c r="C240" s="2"/>
      <c r="D240" s="2"/>
      <c r="E240" s="2">
        <f>0.09*Table136[[#This Row],[Estimated Sell Price]]</f>
        <v>0</v>
      </c>
      <c r="F240" s="2"/>
      <c r="G240" s="2">
        <f>Table136[[#This Row],[Estimated Sell Price]]-Table136[[#This Row],[eBay Fee (9%)]]-Table136[[#This Row],[Parts]]-Table136[[#This Row],[Cost]]-Table136[[#This Row],[Postage]]</f>
        <v>0</v>
      </c>
      <c r="H240" s="9"/>
      <c r="I240" s="9"/>
      <c r="J240" s="9">
        <f>SUM(Table136[[#This Row],[Actual eBay Sell Price (inc fees)]]-Table136[[#This Row],[Parts]]-Table136[[#This Row],[Cost]]-Table136[[#This Row],[Postage]])</f>
        <v>0</v>
      </c>
    </row>
    <row r="241" spans="1:10" x14ac:dyDescent="0.25">
      <c r="A241" s="8"/>
      <c r="B241" s="12"/>
      <c r="C241" s="2"/>
      <c r="D241" s="2"/>
      <c r="E241" s="2">
        <f>0.09*Table136[[#This Row],[Estimated Sell Price]]</f>
        <v>0</v>
      </c>
      <c r="F241" s="2"/>
      <c r="G241" s="2">
        <f>Table136[[#This Row],[Estimated Sell Price]]-Table136[[#This Row],[eBay Fee (9%)]]-Table136[[#This Row],[Parts]]-Table136[[#This Row],[Cost]]-Table136[[#This Row],[Postage]]</f>
        <v>0</v>
      </c>
      <c r="H241" s="9"/>
      <c r="I241" s="9"/>
      <c r="J241" s="9">
        <f>SUM(Table136[[#This Row],[Actual eBay Sell Price (inc fees)]]-Table136[[#This Row],[Parts]]-Table136[[#This Row],[Cost]]-Table136[[#This Row],[Postage]])</f>
        <v>0</v>
      </c>
    </row>
    <row r="242" spans="1:10" x14ac:dyDescent="0.25">
      <c r="A242" s="8"/>
      <c r="B242" s="12"/>
      <c r="C242" s="2"/>
      <c r="D242" s="2"/>
      <c r="E242" s="2">
        <f>0.09*Table136[[#This Row],[Estimated Sell Price]]</f>
        <v>0</v>
      </c>
      <c r="F242" s="2"/>
      <c r="G242" s="2">
        <f>Table136[[#This Row],[Estimated Sell Price]]-Table136[[#This Row],[eBay Fee (9%)]]-Table136[[#This Row],[Parts]]-Table136[[#This Row],[Cost]]-Table136[[#This Row],[Postage]]</f>
        <v>0</v>
      </c>
      <c r="H242" s="9"/>
      <c r="I242" s="9"/>
      <c r="J242" s="9">
        <f>SUM(Table136[[#This Row],[Actual eBay Sell Price (inc fees)]]-Table136[[#This Row],[Parts]]-Table136[[#This Row],[Cost]]-Table136[[#This Row],[Postage]])</f>
        <v>0</v>
      </c>
    </row>
    <row r="243" spans="1:10" x14ac:dyDescent="0.25">
      <c r="A243" s="8"/>
      <c r="B243" s="12"/>
      <c r="C243" s="2"/>
      <c r="D243" s="2"/>
      <c r="E243" s="2">
        <f>0.09*Table136[[#This Row],[Estimated Sell Price]]</f>
        <v>0</v>
      </c>
      <c r="F243" s="2"/>
      <c r="G243" s="2">
        <f>Table136[[#This Row],[Estimated Sell Price]]-Table136[[#This Row],[eBay Fee (9%)]]-Table136[[#This Row],[Parts]]-Table136[[#This Row],[Cost]]-Table136[[#This Row],[Postage]]</f>
        <v>0</v>
      </c>
      <c r="H243" s="9"/>
      <c r="I243" s="9"/>
      <c r="J243" s="9">
        <f>SUM(Table136[[#This Row],[Actual eBay Sell Price (inc fees)]]-Table136[[#This Row],[Parts]]-Table136[[#This Row],[Cost]]-Table136[[#This Row],[Postage]])</f>
        <v>0</v>
      </c>
    </row>
    <row r="244" spans="1:10" x14ac:dyDescent="0.25">
      <c r="A244" s="8"/>
      <c r="B244" s="12"/>
      <c r="C244" s="2"/>
      <c r="D244" s="2"/>
      <c r="E244" s="2">
        <f>0.09*Table136[[#This Row],[Estimated Sell Price]]</f>
        <v>0</v>
      </c>
      <c r="F244" s="2"/>
      <c r="G244" s="2">
        <f>Table136[[#This Row],[Estimated Sell Price]]-Table136[[#This Row],[eBay Fee (9%)]]-Table136[[#This Row],[Parts]]-Table136[[#This Row],[Cost]]-Table136[[#This Row],[Postage]]</f>
        <v>0</v>
      </c>
      <c r="H244" s="9"/>
      <c r="I244" s="9"/>
      <c r="J244" s="9">
        <f>SUM(Table136[[#This Row],[Actual eBay Sell Price (inc fees)]]-Table136[[#This Row],[Parts]]-Table136[[#This Row],[Cost]]-Table136[[#This Row],[Postage]])</f>
        <v>0</v>
      </c>
    </row>
    <row r="245" spans="1:10" x14ac:dyDescent="0.25">
      <c r="A245" s="8"/>
      <c r="B245" s="12"/>
      <c r="C245" s="2"/>
      <c r="D245" s="2"/>
      <c r="E245" s="2">
        <f>0.09*Table136[[#This Row],[Estimated Sell Price]]</f>
        <v>0</v>
      </c>
      <c r="F245" s="2"/>
      <c r="G245" s="2">
        <f>Table136[[#This Row],[Estimated Sell Price]]-Table136[[#This Row],[eBay Fee (9%)]]-Table136[[#This Row],[Parts]]-Table136[[#This Row],[Cost]]-Table136[[#This Row],[Postage]]</f>
        <v>0</v>
      </c>
      <c r="H245" s="9"/>
      <c r="I245" s="9"/>
      <c r="J245" s="9">
        <f>SUM(Table136[[#This Row],[Actual eBay Sell Price (inc fees)]]-Table136[[#This Row],[Parts]]-Table136[[#This Row],[Cost]]-Table136[[#This Row],[Postage]])</f>
        <v>0</v>
      </c>
    </row>
    <row r="246" spans="1:10" x14ac:dyDescent="0.25">
      <c r="A246" s="8"/>
      <c r="B246" s="12"/>
      <c r="C246" s="2"/>
      <c r="D246" s="2"/>
      <c r="E246" s="2">
        <f>0.09*Table136[[#This Row],[Estimated Sell Price]]</f>
        <v>0</v>
      </c>
      <c r="F246" s="2"/>
      <c r="G246" s="2">
        <f>Table136[[#This Row],[Estimated Sell Price]]-Table136[[#This Row],[eBay Fee (9%)]]-Table136[[#This Row],[Parts]]-Table136[[#This Row],[Cost]]-Table136[[#This Row],[Postage]]</f>
        <v>0</v>
      </c>
      <c r="H246" s="9"/>
      <c r="I246" s="9"/>
      <c r="J246" s="9">
        <f>SUM(Table136[[#This Row],[Actual eBay Sell Price (inc fees)]]-Table136[[#This Row],[Parts]]-Table136[[#This Row],[Cost]]-Table136[[#This Row],[Postage]])</f>
        <v>0</v>
      </c>
    </row>
    <row r="247" spans="1:10" x14ac:dyDescent="0.25">
      <c r="A247" s="8"/>
      <c r="B247" s="12"/>
      <c r="C247" s="2"/>
      <c r="D247" s="2"/>
      <c r="E247" s="2">
        <f>0.09*Table136[[#This Row],[Estimated Sell Price]]</f>
        <v>0</v>
      </c>
      <c r="F247" s="2"/>
      <c r="G247" s="2">
        <f>Table136[[#This Row],[Estimated Sell Price]]-Table136[[#This Row],[eBay Fee (9%)]]-Table136[[#This Row],[Parts]]-Table136[[#This Row],[Cost]]-Table136[[#This Row],[Postage]]</f>
        <v>0</v>
      </c>
      <c r="H247" s="9"/>
      <c r="I247" s="9"/>
      <c r="J247" s="9">
        <f>SUM(Table136[[#This Row],[Actual eBay Sell Price (inc fees)]]-Table136[[#This Row],[Parts]]-Table136[[#This Row],[Cost]]-Table136[[#This Row],[Postage]])</f>
        <v>0</v>
      </c>
    </row>
    <row r="248" spans="1:10" x14ac:dyDescent="0.25">
      <c r="A248" s="8"/>
      <c r="B248" s="12"/>
      <c r="C248" s="2"/>
      <c r="D248" s="2"/>
      <c r="E248" s="2">
        <f>0.09*Table136[[#This Row],[Estimated Sell Price]]</f>
        <v>0</v>
      </c>
      <c r="F248" s="2"/>
      <c r="G248" s="2">
        <f>Table136[[#This Row],[Estimated Sell Price]]-Table136[[#This Row],[eBay Fee (9%)]]-Table136[[#This Row],[Parts]]-Table136[[#This Row],[Cost]]-Table136[[#This Row],[Postage]]</f>
        <v>0</v>
      </c>
      <c r="H248" s="9"/>
      <c r="I248" s="9"/>
      <c r="J248" s="9">
        <f>SUM(Table136[[#This Row],[Actual eBay Sell Price (inc fees)]]-Table136[[#This Row],[Parts]]-Table136[[#This Row],[Cost]]-Table136[[#This Row],[Postage]])</f>
        <v>0</v>
      </c>
    </row>
    <row r="249" spans="1:10" x14ac:dyDescent="0.25">
      <c r="A249" s="8"/>
      <c r="B249" s="12"/>
      <c r="C249" s="2"/>
      <c r="D249" s="2"/>
      <c r="E249" s="2">
        <f>0.09*Table136[[#This Row],[Estimated Sell Price]]</f>
        <v>0</v>
      </c>
      <c r="F249" s="2"/>
      <c r="G249" s="2">
        <f>Table136[[#This Row],[Estimated Sell Price]]-Table136[[#This Row],[eBay Fee (9%)]]-Table136[[#This Row],[Parts]]-Table136[[#This Row],[Cost]]-Table136[[#This Row],[Postage]]</f>
        <v>0</v>
      </c>
      <c r="H249" s="9"/>
      <c r="I249" s="9"/>
      <c r="J249" s="9">
        <f>SUM(Table136[[#This Row],[Actual eBay Sell Price (inc fees)]]-Table136[[#This Row],[Parts]]-Table136[[#This Row],[Cost]]-Table136[[#This Row],[Postage]])</f>
        <v>0</v>
      </c>
    </row>
    <row r="250" spans="1:10" x14ac:dyDescent="0.25">
      <c r="A250" s="8"/>
      <c r="B250" s="12"/>
      <c r="C250" s="2"/>
      <c r="D250" s="2"/>
      <c r="E250" s="2">
        <f>0.09*Table136[[#This Row],[Estimated Sell Price]]</f>
        <v>0</v>
      </c>
      <c r="F250" s="2"/>
      <c r="G250" s="2">
        <f>Table136[[#This Row],[Estimated Sell Price]]-Table136[[#This Row],[eBay Fee (9%)]]-Table136[[#This Row],[Parts]]-Table136[[#This Row],[Cost]]-Table136[[#This Row],[Postage]]</f>
        <v>0</v>
      </c>
      <c r="H250" s="9"/>
      <c r="I250" s="9"/>
      <c r="J250" s="9">
        <f>SUM(Table136[[#This Row],[Actual eBay Sell Price (inc fees)]]-Table136[[#This Row],[Parts]]-Table136[[#This Row],[Cost]]-Table136[[#This Row],[Postage]])</f>
        <v>0</v>
      </c>
    </row>
    <row r="251" spans="1:10" x14ac:dyDescent="0.25">
      <c r="A251" s="8"/>
      <c r="B251" s="12"/>
      <c r="C251" s="2"/>
      <c r="D251" s="2"/>
      <c r="E251" s="2">
        <f>0.09*Table136[[#This Row],[Estimated Sell Price]]</f>
        <v>0</v>
      </c>
      <c r="F251" s="2"/>
      <c r="G251" s="2">
        <f>Table136[[#This Row],[Estimated Sell Price]]-Table136[[#This Row],[eBay Fee (9%)]]-Table136[[#This Row],[Parts]]-Table136[[#This Row],[Cost]]-Table136[[#This Row],[Postage]]</f>
        <v>0</v>
      </c>
      <c r="H251" s="9"/>
      <c r="I251" s="9"/>
      <c r="J251" s="9">
        <f>SUM(Table136[[#This Row],[Actual eBay Sell Price (inc fees)]]-Table136[[#This Row],[Parts]]-Table136[[#This Row],[Cost]]-Table136[[#This Row],[Postage]])</f>
        <v>0</v>
      </c>
    </row>
    <row r="252" spans="1:10" x14ac:dyDescent="0.25">
      <c r="A252" s="8"/>
      <c r="B252" s="12"/>
      <c r="C252" s="2"/>
      <c r="D252" s="2"/>
      <c r="E252" s="2">
        <f>0.09*Table136[[#This Row],[Estimated Sell Price]]</f>
        <v>0</v>
      </c>
      <c r="F252" s="2"/>
      <c r="G252" s="2">
        <f>Table136[[#This Row],[Estimated Sell Price]]-Table136[[#This Row],[eBay Fee (9%)]]-Table136[[#This Row],[Parts]]-Table136[[#This Row],[Cost]]-Table136[[#This Row],[Postage]]</f>
        <v>0</v>
      </c>
      <c r="H252" s="9"/>
      <c r="I252" s="9"/>
      <c r="J252" s="9">
        <f>SUM(Table136[[#This Row],[Actual eBay Sell Price (inc fees)]]-Table136[[#This Row],[Parts]]-Table136[[#This Row],[Cost]]-Table136[[#This Row],[Postage]])</f>
        <v>0</v>
      </c>
    </row>
    <row r="253" spans="1:10" x14ac:dyDescent="0.25">
      <c r="A253" s="8"/>
      <c r="B253" s="12"/>
      <c r="C253" s="2"/>
      <c r="D253" s="2"/>
      <c r="E253" s="2">
        <f>0.09*Table136[[#This Row],[Estimated Sell Price]]</f>
        <v>0</v>
      </c>
      <c r="F253" s="2"/>
      <c r="G253" s="2">
        <f>Table136[[#This Row],[Estimated Sell Price]]-Table136[[#This Row],[eBay Fee (9%)]]-Table136[[#This Row],[Parts]]-Table136[[#This Row],[Cost]]-Table136[[#This Row],[Postage]]</f>
        <v>0</v>
      </c>
      <c r="H253" s="9"/>
      <c r="I253" s="9"/>
      <c r="J253" s="9">
        <f>SUM(Table136[[#This Row],[Actual eBay Sell Price (inc fees)]]-Table136[[#This Row],[Parts]]-Table136[[#This Row],[Cost]]-Table136[[#This Row],[Postage]])</f>
        <v>0</v>
      </c>
    </row>
    <row r="254" spans="1:10" x14ac:dyDescent="0.25">
      <c r="A254" s="8"/>
      <c r="B254" s="12"/>
      <c r="C254" s="2"/>
      <c r="D254" s="2"/>
      <c r="E254" s="2">
        <f>0.09*Table136[[#This Row],[Estimated Sell Price]]</f>
        <v>0</v>
      </c>
      <c r="F254" s="2"/>
      <c r="G254" s="2">
        <f>Table136[[#This Row],[Estimated Sell Price]]-Table136[[#This Row],[eBay Fee (9%)]]-Table136[[#This Row],[Parts]]-Table136[[#This Row],[Cost]]-Table136[[#This Row],[Postage]]</f>
        <v>0</v>
      </c>
      <c r="H254" s="9"/>
      <c r="I254" s="9"/>
      <c r="J254" s="9">
        <f>SUM(Table136[[#This Row],[Actual eBay Sell Price (inc fees)]]-Table136[[#This Row],[Parts]]-Table136[[#This Row],[Cost]]-Table136[[#This Row],[Postage]])</f>
        <v>0</v>
      </c>
    </row>
    <row r="255" spans="1:10" x14ac:dyDescent="0.25">
      <c r="A255" s="8"/>
      <c r="B255" s="12"/>
      <c r="C255" s="2"/>
      <c r="D255" s="2"/>
      <c r="E255" s="2">
        <f>0.09*Table136[[#This Row],[Estimated Sell Price]]</f>
        <v>0</v>
      </c>
      <c r="F255" s="2"/>
      <c r="G255" s="2">
        <f>Table136[[#This Row],[Estimated Sell Price]]-Table136[[#This Row],[eBay Fee (9%)]]-Table136[[#This Row],[Parts]]-Table136[[#This Row],[Cost]]-Table136[[#This Row],[Postage]]</f>
        <v>0</v>
      </c>
      <c r="H255" s="9"/>
      <c r="I255" s="9"/>
      <c r="J255" s="9">
        <f>SUM(Table136[[#This Row],[Actual eBay Sell Price (inc fees)]]-Table136[[#This Row],[Parts]]-Table136[[#This Row],[Cost]]-Table136[[#This Row],[Postage]])</f>
        <v>0</v>
      </c>
    </row>
    <row r="256" spans="1:10" x14ac:dyDescent="0.25">
      <c r="A256" s="8"/>
      <c r="B256" s="12"/>
      <c r="C256" s="2"/>
      <c r="D256" s="2"/>
      <c r="E256" s="2">
        <f>0.09*Table136[[#This Row],[Estimated Sell Price]]</f>
        <v>0</v>
      </c>
      <c r="F256" s="2"/>
      <c r="G256" s="2">
        <f>Table136[[#This Row],[Estimated Sell Price]]-Table136[[#This Row],[eBay Fee (9%)]]-Table136[[#This Row],[Parts]]-Table136[[#This Row],[Cost]]-Table136[[#This Row],[Postage]]</f>
        <v>0</v>
      </c>
      <c r="H256" s="9"/>
      <c r="I256" s="9"/>
      <c r="J256" s="9">
        <f>SUM(Table136[[#This Row],[Actual eBay Sell Price (inc fees)]]-Table136[[#This Row],[Parts]]-Table136[[#This Row],[Cost]]-Table136[[#This Row],[Postage]])</f>
        <v>0</v>
      </c>
    </row>
    <row r="257" spans="1:10" x14ac:dyDescent="0.25">
      <c r="A257" s="8"/>
      <c r="B257" s="12"/>
      <c r="C257" s="2"/>
      <c r="D257" s="2"/>
      <c r="E257" s="2">
        <f>0.09*Table136[[#This Row],[Estimated Sell Price]]</f>
        <v>0</v>
      </c>
      <c r="F257" s="2"/>
      <c r="G257" s="2">
        <f>Table136[[#This Row],[Estimated Sell Price]]-Table136[[#This Row],[eBay Fee (9%)]]-Table136[[#This Row],[Parts]]-Table136[[#This Row],[Cost]]-Table136[[#This Row],[Postage]]</f>
        <v>0</v>
      </c>
      <c r="H257" s="9"/>
      <c r="I257" s="9"/>
      <c r="J257" s="9">
        <f>SUM(Table136[[#This Row],[Actual eBay Sell Price (inc fees)]]-Table136[[#This Row],[Parts]]-Table136[[#This Row],[Cost]]-Table136[[#This Row],[Postage]])</f>
        <v>0</v>
      </c>
    </row>
    <row r="258" spans="1:10" x14ac:dyDescent="0.25">
      <c r="A258" s="8"/>
      <c r="B258" s="12"/>
      <c r="C258" s="2"/>
      <c r="D258" s="2"/>
      <c r="E258" s="2">
        <f>0.09*Table136[[#This Row],[Estimated Sell Price]]</f>
        <v>0</v>
      </c>
      <c r="F258" s="2"/>
      <c r="G258" s="2">
        <f>Table136[[#This Row],[Estimated Sell Price]]-Table136[[#This Row],[eBay Fee (9%)]]-Table136[[#This Row],[Parts]]-Table136[[#This Row],[Cost]]-Table136[[#This Row],[Postage]]</f>
        <v>0</v>
      </c>
      <c r="H258" s="9"/>
      <c r="I258" s="9"/>
      <c r="J258" s="9">
        <f>SUM(Table136[[#This Row],[Actual eBay Sell Price (inc fees)]]-Table136[[#This Row],[Parts]]-Table136[[#This Row],[Cost]]-Table136[[#This Row],[Postage]])</f>
        <v>0</v>
      </c>
    </row>
    <row r="259" spans="1:10" x14ac:dyDescent="0.25">
      <c r="A259" s="8"/>
      <c r="B259" s="12"/>
      <c r="C259" s="2"/>
      <c r="D259" s="2"/>
      <c r="E259" s="2">
        <f>0.09*Table136[[#This Row],[Estimated Sell Price]]</f>
        <v>0</v>
      </c>
      <c r="F259" s="2"/>
      <c r="G259" s="2">
        <f>Table136[[#This Row],[Estimated Sell Price]]-Table136[[#This Row],[eBay Fee (9%)]]-Table136[[#This Row],[Parts]]-Table136[[#This Row],[Cost]]-Table136[[#This Row],[Postage]]</f>
        <v>0</v>
      </c>
      <c r="H259" s="9"/>
      <c r="I259" s="9"/>
      <c r="J259" s="9">
        <f>SUM(Table136[[#This Row],[Actual eBay Sell Price (inc fees)]]-Table136[[#This Row],[Parts]]-Table136[[#This Row],[Cost]]-Table136[[#This Row],[Postage]])</f>
        <v>0</v>
      </c>
    </row>
    <row r="260" spans="1:10" x14ac:dyDescent="0.25">
      <c r="A260" s="8"/>
      <c r="B260" s="12"/>
      <c r="C260" s="2"/>
      <c r="D260" s="2"/>
      <c r="E260" s="2">
        <f>0.09*Table136[[#This Row],[Estimated Sell Price]]</f>
        <v>0</v>
      </c>
      <c r="F260" s="2"/>
      <c r="G260" s="2">
        <f>Table136[[#This Row],[Estimated Sell Price]]-Table136[[#This Row],[eBay Fee (9%)]]-Table136[[#This Row],[Parts]]-Table136[[#This Row],[Cost]]-Table136[[#This Row],[Postage]]</f>
        <v>0</v>
      </c>
      <c r="H260" s="9"/>
      <c r="I260" s="9"/>
      <c r="J260" s="9">
        <f>SUM(Table136[[#This Row],[Actual eBay Sell Price (inc fees)]]-Table136[[#This Row],[Parts]]-Table136[[#This Row],[Cost]]-Table136[[#This Row],[Postage]])</f>
        <v>0</v>
      </c>
    </row>
    <row r="261" spans="1:10" x14ac:dyDescent="0.25">
      <c r="A261" s="8"/>
      <c r="B261" s="12"/>
      <c r="C261" s="2"/>
      <c r="D261" s="2"/>
      <c r="E261" s="2">
        <f>0.09*Table136[[#This Row],[Estimated Sell Price]]</f>
        <v>0</v>
      </c>
      <c r="F261" s="2"/>
      <c r="G261" s="2">
        <f>Table136[[#This Row],[Estimated Sell Price]]-Table136[[#This Row],[eBay Fee (9%)]]-Table136[[#This Row],[Parts]]-Table136[[#This Row],[Cost]]-Table136[[#This Row],[Postage]]</f>
        <v>0</v>
      </c>
      <c r="H261" s="9"/>
      <c r="I261" s="9"/>
      <c r="J261" s="9">
        <f>SUM(Table136[[#This Row],[Actual eBay Sell Price (inc fees)]]-Table136[[#This Row],[Parts]]-Table136[[#This Row],[Cost]]-Table136[[#This Row],[Postage]])</f>
        <v>0</v>
      </c>
    </row>
    <row r="262" spans="1:10" x14ac:dyDescent="0.25">
      <c r="A262" s="8"/>
      <c r="B262" s="12"/>
      <c r="C262" s="2"/>
      <c r="D262" s="2"/>
      <c r="E262" s="2">
        <f>0.09*Table136[[#This Row],[Estimated Sell Price]]</f>
        <v>0</v>
      </c>
      <c r="F262" s="2"/>
      <c r="G262" s="2">
        <f>Table136[[#This Row],[Estimated Sell Price]]-Table136[[#This Row],[eBay Fee (9%)]]-Table136[[#This Row],[Parts]]-Table136[[#This Row],[Cost]]-Table136[[#This Row],[Postage]]</f>
        <v>0</v>
      </c>
      <c r="H262" s="9"/>
      <c r="I262" s="9"/>
      <c r="J262" s="9">
        <f>SUM(Table136[[#This Row],[Actual eBay Sell Price (inc fees)]]-Table136[[#This Row],[Parts]]-Table136[[#This Row],[Cost]]-Table136[[#This Row],[Postage]])</f>
        <v>0</v>
      </c>
    </row>
    <row r="263" spans="1:10" x14ac:dyDescent="0.25">
      <c r="A263" s="8"/>
      <c r="B263" s="12"/>
      <c r="C263" s="2"/>
      <c r="D263" s="2"/>
      <c r="E263" s="2">
        <f>0.09*Table136[[#This Row],[Estimated Sell Price]]</f>
        <v>0</v>
      </c>
      <c r="F263" s="2"/>
      <c r="G263" s="2">
        <f>Table136[[#This Row],[Estimated Sell Price]]-Table136[[#This Row],[eBay Fee (9%)]]-Table136[[#This Row],[Parts]]-Table136[[#This Row],[Cost]]-Table136[[#This Row],[Postage]]</f>
        <v>0</v>
      </c>
      <c r="H263" s="9"/>
      <c r="I263" s="9"/>
      <c r="J263" s="9">
        <f>SUM(Table136[[#This Row],[Actual eBay Sell Price (inc fees)]]-Table136[[#This Row],[Parts]]-Table136[[#This Row],[Cost]]-Table136[[#This Row],[Postage]])</f>
        <v>0</v>
      </c>
    </row>
    <row r="264" spans="1:10" x14ac:dyDescent="0.25">
      <c r="A264" s="8"/>
      <c r="B264" s="12"/>
      <c r="C264" s="2"/>
      <c r="D264" s="2"/>
      <c r="E264" s="2">
        <f>0.09*Table136[[#This Row],[Estimated Sell Price]]</f>
        <v>0</v>
      </c>
      <c r="F264" s="2"/>
      <c r="G264" s="2">
        <f>Table136[[#This Row],[Estimated Sell Price]]-Table136[[#This Row],[eBay Fee (9%)]]-Table136[[#This Row],[Parts]]-Table136[[#This Row],[Cost]]-Table136[[#This Row],[Postage]]</f>
        <v>0</v>
      </c>
      <c r="H264" s="9"/>
      <c r="I264" s="9"/>
      <c r="J264" s="9">
        <f>SUM(Table136[[#This Row],[Actual eBay Sell Price (inc fees)]]-Table136[[#This Row],[Parts]]-Table136[[#This Row],[Cost]]-Table136[[#This Row],[Postage]])</f>
        <v>0</v>
      </c>
    </row>
    <row r="265" spans="1:10" x14ac:dyDescent="0.25">
      <c r="A265" s="8"/>
      <c r="B265" s="12"/>
      <c r="C265" s="2"/>
      <c r="D265" s="2"/>
      <c r="E265" s="2">
        <f>0.09*Table136[[#This Row],[Estimated Sell Price]]</f>
        <v>0</v>
      </c>
      <c r="F265" s="2"/>
      <c r="G265" s="2">
        <f>Table136[[#This Row],[Estimated Sell Price]]-Table136[[#This Row],[eBay Fee (9%)]]-Table136[[#This Row],[Parts]]-Table136[[#This Row],[Cost]]-Table136[[#This Row],[Postage]]</f>
        <v>0</v>
      </c>
      <c r="H265" s="9"/>
      <c r="I265" s="9"/>
      <c r="J265" s="9">
        <f>SUM(Table136[[#This Row],[Actual eBay Sell Price (inc fees)]]-Table136[[#This Row],[Parts]]-Table136[[#This Row],[Cost]]-Table136[[#This Row],[Postage]])</f>
        <v>0</v>
      </c>
    </row>
    <row r="266" spans="1:10" x14ac:dyDescent="0.25">
      <c r="A266" s="8"/>
      <c r="B266" s="12"/>
      <c r="C266" s="2"/>
      <c r="D266" s="2"/>
      <c r="E266" s="2">
        <f>0.09*Table136[[#This Row],[Estimated Sell Price]]</f>
        <v>0</v>
      </c>
      <c r="F266" s="2"/>
      <c r="G266" s="2">
        <f>Table136[[#This Row],[Estimated Sell Price]]-Table136[[#This Row],[eBay Fee (9%)]]-Table136[[#This Row],[Parts]]-Table136[[#This Row],[Cost]]-Table136[[#This Row],[Postage]]</f>
        <v>0</v>
      </c>
      <c r="H266" s="9"/>
      <c r="I266" s="9"/>
      <c r="J266" s="9">
        <f>SUM(Table136[[#This Row],[Actual eBay Sell Price (inc fees)]]-Table136[[#This Row],[Parts]]-Table136[[#This Row],[Cost]]-Table136[[#This Row],[Postage]])</f>
        <v>0</v>
      </c>
    </row>
    <row r="267" spans="1:10" x14ac:dyDescent="0.25">
      <c r="A267" s="8"/>
      <c r="B267" s="12"/>
      <c r="C267" s="2"/>
      <c r="D267" s="2"/>
      <c r="E267" s="2">
        <f>0.09*Table136[[#This Row],[Estimated Sell Price]]</f>
        <v>0</v>
      </c>
      <c r="F267" s="2"/>
      <c r="G267" s="2">
        <f>Table136[[#This Row],[Estimated Sell Price]]-Table136[[#This Row],[eBay Fee (9%)]]-Table136[[#This Row],[Parts]]-Table136[[#This Row],[Cost]]-Table136[[#This Row],[Postage]]</f>
        <v>0</v>
      </c>
      <c r="H267" s="9"/>
      <c r="I267" s="9"/>
      <c r="J267" s="9">
        <f>SUM(Table136[[#This Row],[Actual eBay Sell Price (inc fees)]]-Table136[[#This Row],[Parts]]-Table136[[#This Row],[Cost]]-Table136[[#This Row],[Postage]])</f>
        <v>0</v>
      </c>
    </row>
  </sheetData>
  <conditionalFormatting sqref="G2:G343 J1:J648">
    <cfRule type="colorScale" priority="2">
      <colorScale>
        <cfvo type="num" val="0"/>
        <cfvo type="num" val="1"/>
        <color rgb="FFFF0000"/>
        <color theme="9"/>
      </colorScale>
    </cfRule>
  </conditionalFormatting>
  <pageMargins left="0.7" right="0.7" top="0.75" bottom="0.75" header="0.3" footer="0.3"/>
  <pageSetup paperSize="0" orientation="portrait" horizontalDpi="203" verticalDpi="20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7"/>
  <sheetViews>
    <sheetView zoomScale="145" zoomScaleNormal="145" workbookViewId="0">
      <selection activeCell="B14" sqref="B14"/>
    </sheetView>
  </sheetViews>
  <sheetFormatPr defaultRowHeight="15" x14ac:dyDescent="0.25"/>
  <cols>
    <col min="1" max="1" width="15.85546875" customWidth="1"/>
    <col min="2" max="2" width="16.85546875" customWidth="1"/>
    <col min="3" max="3" width="13.28515625" customWidth="1"/>
    <col min="4" max="4" width="23.140625" customWidth="1"/>
    <col min="5" max="5" width="13" customWidth="1"/>
    <col min="6" max="7" width="20" customWidth="1"/>
    <col min="8" max="8" width="17.28515625" customWidth="1"/>
    <col min="9" max="9" width="11" customWidth="1"/>
  </cols>
  <sheetData>
    <row r="1" spans="1:9" x14ac:dyDescent="0.25">
      <c r="A1" s="1" t="s">
        <v>55</v>
      </c>
      <c r="B1" s="1" t="s">
        <v>56</v>
      </c>
      <c r="C1" s="6" t="s">
        <v>57</v>
      </c>
      <c r="D1" s="1" t="s">
        <v>58</v>
      </c>
      <c r="E1" s="1"/>
      <c r="F1" s="3" t="s">
        <v>59</v>
      </c>
      <c r="G1" s="3" t="s">
        <v>60</v>
      </c>
      <c r="H1" s="3" t="s">
        <v>61</v>
      </c>
      <c r="I1" s="3" t="s">
        <v>62</v>
      </c>
    </row>
    <row r="2" spans="1:9" x14ac:dyDescent="0.25">
      <c r="A2" s="2"/>
      <c r="B2" s="2"/>
      <c r="C2" s="4"/>
      <c r="D2" s="2" t="str">
        <f>IFERROR(Table1[[#This Row],[Actual Profit]]/Table1[[#This Row],[Hours Worked]],"")</f>
        <v/>
      </c>
      <c r="E2" s="2"/>
      <c r="F2" s="5" t="e">
        <f>SUM(H2/F5)</f>
        <v>#DIV/0!</v>
      </c>
      <c r="G2" s="5">
        <f>SUM(A:A)</f>
        <v>0</v>
      </c>
      <c r="H2" s="5">
        <f>SUM(B:B)</f>
        <v>0</v>
      </c>
      <c r="I2" s="5">
        <v>0</v>
      </c>
    </row>
    <row r="3" spans="1:9" x14ac:dyDescent="0.25">
      <c r="A3" s="2"/>
      <c r="B3" s="2"/>
      <c r="C3" s="4"/>
      <c r="D3" s="2" t="str">
        <f>IFERROR(Table1[[#This Row],[Actual Profit]]/Table1[[#This Row],[Hours Worked]],"")</f>
        <v/>
      </c>
      <c r="E3" s="2"/>
    </row>
    <row r="4" spans="1:9" x14ac:dyDescent="0.25">
      <c r="A4" s="2"/>
      <c r="B4" s="2"/>
      <c r="C4" s="4"/>
      <c r="D4" s="2" t="str">
        <f>IFERROR(Table1[[#This Row],[Actual Profit]]/Table1[[#This Row],[Hours Worked]],"")</f>
        <v/>
      </c>
      <c r="E4" s="2"/>
      <c r="F4" s="3" t="s">
        <v>63</v>
      </c>
      <c r="G4" s="3" t="s">
        <v>64</v>
      </c>
    </row>
    <row r="5" spans="1:9" x14ac:dyDescent="0.25">
      <c r="A5" s="2"/>
      <c r="B5" s="2"/>
      <c r="C5" s="4"/>
      <c r="D5" s="2" t="str">
        <f>IFERROR(Table1[[#This Row],[Actual Profit]]/Table1[[#This Row],[Hours Worked]],"")</f>
        <v/>
      </c>
      <c r="E5" s="2"/>
      <c r="F5" s="10">
        <f>SUM(C:C)</f>
        <v>0</v>
      </c>
      <c r="G5" s="10">
        <f>SUM(Items!I:I)</f>
        <v>0</v>
      </c>
    </row>
    <row r="6" spans="1:9" x14ac:dyDescent="0.25">
      <c r="A6" s="2"/>
      <c r="B6" s="2"/>
      <c r="C6" s="4"/>
      <c r="D6" s="2" t="str">
        <f>IFERROR(Table1[[#This Row],[Actual Profit]]/Table1[[#This Row],[Hours Worked]],"")</f>
        <v/>
      </c>
      <c r="E6" s="2"/>
    </row>
    <row r="7" spans="1:9" x14ac:dyDescent="0.25">
      <c r="A7" s="2"/>
      <c r="B7" s="2"/>
      <c r="C7" s="4"/>
      <c r="D7" s="2" t="str">
        <f>IFERROR(Table1[[#This Row],[Actual Profit]]/Table1[[#This Row],[Hours Worked]],"")</f>
        <v/>
      </c>
      <c r="E7" s="2"/>
    </row>
    <row r="8" spans="1:9" x14ac:dyDescent="0.25">
      <c r="A8" s="2"/>
      <c r="B8" s="2"/>
      <c r="C8" s="4"/>
      <c r="D8" s="2" t="str">
        <f>IFERROR(Table1[[#This Row],[Actual Profit]]/Table1[[#This Row],[Hours Worked]],"")</f>
        <v/>
      </c>
      <c r="E8" s="2"/>
    </row>
    <row r="9" spans="1:9" x14ac:dyDescent="0.25">
      <c r="A9" s="2"/>
      <c r="B9" s="2"/>
      <c r="C9" s="4"/>
      <c r="D9" s="2" t="str">
        <f>IFERROR(Table1[[#This Row],[Actual Profit]]/Table1[[#This Row],[Hours Worked]],"")</f>
        <v/>
      </c>
      <c r="E9" s="2"/>
    </row>
    <row r="10" spans="1:9" x14ac:dyDescent="0.25">
      <c r="A10" s="2"/>
      <c r="B10" s="2"/>
      <c r="C10" s="4"/>
      <c r="D10" s="2" t="str">
        <f>IFERROR(Table1[[#This Row],[Actual Profit]]/Table1[[#This Row],[Hours Worked]],"")</f>
        <v/>
      </c>
      <c r="E10" s="2"/>
    </row>
    <row r="11" spans="1:9" x14ac:dyDescent="0.25">
      <c r="A11" s="2"/>
      <c r="B11" s="2"/>
      <c r="C11" s="4"/>
      <c r="D11" s="2" t="str">
        <f>IFERROR(Table1[[#This Row],[Actual Profit]]/Table1[[#This Row],[Hours Worked]],"")</f>
        <v/>
      </c>
      <c r="E11" s="2"/>
    </row>
    <row r="12" spans="1:9" x14ac:dyDescent="0.25">
      <c r="A12" s="2"/>
      <c r="B12" s="2"/>
      <c r="C12" s="4"/>
      <c r="D12" s="2" t="str">
        <f>IFERROR(Table1[[#This Row],[Actual Profit]]/Table1[[#This Row],[Hours Worked]],"")</f>
        <v/>
      </c>
      <c r="E12" s="2"/>
    </row>
    <row r="13" spans="1:9" x14ac:dyDescent="0.25">
      <c r="A13" s="2"/>
      <c r="B13" s="2"/>
      <c r="C13" s="4"/>
      <c r="D13" s="2" t="str">
        <f>IFERROR(Table1[[#This Row],[Actual Profit]]/Table1[[#This Row],[Hours Worked]],"")</f>
        <v/>
      </c>
      <c r="E13" s="2"/>
    </row>
    <row r="14" spans="1:9" x14ac:dyDescent="0.25">
      <c r="A14" s="2"/>
      <c r="B14" s="2"/>
      <c r="C14" s="4"/>
      <c r="D14" s="2" t="str">
        <f>IFERROR(Table1[[#This Row],[Actual Profit]]/Table1[[#This Row],[Hours Worked]],"")</f>
        <v/>
      </c>
      <c r="E14" s="2"/>
    </row>
    <row r="15" spans="1:9" x14ac:dyDescent="0.25">
      <c r="A15" s="2"/>
      <c r="B15" s="2"/>
      <c r="C15" s="4"/>
      <c r="D15" s="2" t="str">
        <f>IFERROR(Table1[[#This Row],[Actual Profit]]/Table1[[#This Row],[Hours Worked]],"")</f>
        <v/>
      </c>
      <c r="E15" s="2"/>
    </row>
    <row r="16" spans="1:9" x14ac:dyDescent="0.25">
      <c r="A16" s="2"/>
      <c r="B16" s="2"/>
      <c r="C16" s="4"/>
      <c r="D16" s="2" t="str">
        <f>IFERROR(Table1[[#This Row],[Actual Profit]]/Table1[[#This Row],[Hours Worked]],"")</f>
        <v/>
      </c>
      <c r="E16" s="2"/>
    </row>
    <row r="17" spans="1:5" x14ac:dyDescent="0.25">
      <c r="A17" s="2"/>
      <c r="B17" s="2"/>
      <c r="C17" s="4"/>
      <c r="D17" s="2" t="str">
        <f>IFERROR(Table1[[#This Row],[Actual Profit]]/Table1[[#This Row],[Hours Worked]],"")</f>
        <v/>
      </c>
      <c r="E17" s="2"/>
    </row>
    <row r="18" spans="1:5" x14ac:dyDescent="0.25">
      <c r="A18" s="2"/>
      <c r="B18" s="2"/>
      <c r="C18" s="4"/>
      <c r="D18" s="2" t="str">
        <f>IFERROR(Table1[[#This Row],[Actual Profit]]/Table1[[#This Row],[Hours Worked]],"")</f>
        <v/>
      </c>
      <c r="E18" s="2"/>
    </row>
    <row r="19" spans="1:5" x14ac:dyDescent="0.25">
      <c r="A19" s="2"/>
      <c r="B19" s="2"/>
      <c r="C19" s="4"/>
      <c r="D19" s="2" t="str">
        <f>IFERROR(Table1[[#This Row],[Actual Profit]]/Table1[[#This Row],[Hours Worked]],"")</f>
        <v/>
      </c>
      <c r="E19" s="2"/>
    </row>
    <row r="20" spans="1:5" x14ac:dyDescent="0.25">
      <c r="A20" s="2"/>
      <c r="B20" s="2"/>
      <c r="C20" s="4"/>
      <c r="D20" s="2" t="str">
        <f>IFERROR(Table1[[#This Row],[Actual Profit]]/Table1[[#This Row],[Hours Worked]],"")</f>
        <v/>
      </c>
      <c r="E20" s="2"/>
    </row>
    <row r="21" spans="1:5" x14ac:dyDescent="0.25">
      <c r="A21" s="2"/>
      <c r="B21" s="2"/>
      <c r="C21" s="4"/>
      <c r="D21" s="2" t="str">
        <f>IFERROR(Table1[[#This Row],[Actual Profit]]/Table1[[#This Row],[Hours Worked]],"")</f>
        <v/>
      </c>
      <c r="E21" s="2"/>
    </row>
    <row r="22" spans="1:5" x14ac:dyDescent="0.25">
      <c r="A22" s="2"/>
      <c r="B22" s="2"/>
      <c r="C22" s="4"/>
      <c r="D22" s="2" t="str">
        <f>IFERROR(Table1[[#This Row],[Actual Profit]]/Table1[[#This Row],[Hours Worked]],"")</f>
        <v/>
      </c>
      <c r="E22" s="2"/>
    </row>
    <row r="23" spans="1:5" x14ac:dyDescent="0.25">
      <c r="A23" s="2"/>
      <c r="B23" s="2"/>
      <c r="C23" s="4"/>
      <c r="D23" s="2" t="str">
        <f>IFERROR(Table1[[#This Row],[Actual Profit]]/Table1[[#This Row],[Hours Worked]],"")</f>
        <v/>
      </c>
      <c r="E23" s="2"/>
    </row>
    <row r="24" spans="1:5" x14ac:dyDescent="0.25">
      <c r="A24" s="2"/>
      <c r="B24" s="2"/>
      <c r="C24" s="4"/>
      <c r="D24" s="2" t="str">
        <f>IFERROR(Table1[[#This Row],[Actual Profit]]/Table1[[#This Row],[Hours Worked]],"")</f>
        <v/>
      </c>
      <c r="E24" s="2"/>
    </row>
    <row r="25" spans="1:5" x14ac:dyDescent="0.25">
      <c r="A25" s="2"/>
      <c r="B25" s="2"/>
      <c r="C25" s="4"/>
      <c r="D25" s="2" t="str">
        <f>IFERROR(Table1[[#This Row],[Actual Profit]]/Table1[[#This Row],[Hours Worked]],"")</f>
        <v/>
      </c>
      <c r="E25" s="2"/>
    </row>
    <row r="26" spans="1:5" x14ac:dyDescent="0.25">
      <c r="A26" s="2"/>
      <c r="B26" s="2"/>
      <c r="C26" s="4"/>
      <c r="D26" s="2" t="str">
        <f>IFERROR(Table1[[#This Row],[Actual Profit]]/Table1[[#This Row],[Hours Worked]],"")</f>
        <v/>
      </c>
      <c r="E26" s="2"/>
    </row>
    <row r="27" spans="1:5" x14ac:dyDescent="0.25">
      <c r="A27" s="2"/>
      <c r="B27" s="2"/>
      <c r="C27" s="4"/>
      <c r="D27" s="2" t="str">
        <f>IFERROR(Table1[[#This Row],[Actual Profit]]/Table1[[#This Row],[Hours Worked]],"")</f>
        <v/>
      </c>
      <c r="E27" s="2"/>
    </row>
    <row r="28" spans="1:5" x14ac:dyDescent="0.25">
      <c r="A28" s="2"/>
      <c r="B28" s="2"/>
      <c r="C28" s="4"/>
      <c r="D28" s="2" t="str">
        <f>IFERROR(Table1[[#This Row],[Actual Profit]]/Table1[[#This Row],[Hours Worked]],"")</f>
        <v/>
      </c>
      <c r="E28" s="2"/>
    </row>
    <row r="29" spans="1:5" x14ac:dyDescent="0.25">
      <c r="A29" s="2"/>
      <c r="B29" s="2"/>
      <c r="C29" s="4"/>
      <c r="D29" s="2" t="str">
        <f>IFERROR(Table1[[#This Row],[Actual Profit]]/Table1[[#This Row],[Hours Worked]],"")</f>
        <v/>
      </c>
      <c r="E29" s="2"/>
    </row>
    <row r="30" spans="1:5" x14ac:dyDescent="0.25">
      <c r="A30" s="2"/>
      <c r="B30" s="2"/>
      <c r="C30" s="4"/>
      <c r="D30" s="2" t="str">
        <f>IFERROR(Table1[[#This Row],[Actual Profit]]/Table1[[#This Row],[Hours Worked]],"")</f>
        <v/>
      </c>
      <c r="E30" s="2"/>
    </row>
    <row r="31" spans="1:5" x14ac:dyDescent="0.25">
      <c r="A31" s="2"/>
      <c r="B31" s="2"/>
      <c r="C31" s="4"/>
      <c r="D31" s="2" t="str">
        <f>IFERROR(Table1[[#This Row],[Actual Profit]]/Table1[[#This Row],[Hours Worked]],"")</f>
        <v/>
      </c>
      <c r="E31" s="2"/>
    </row>
    <row r="32" spans="1:5" x14ac:dyDescent="0.25">
      <c r="A32" s="2"/>
      <c r="B32" s="2"/>
      <c r="C32" s="4"/>
      <c r="D32" s="2" t="str">
        <f>IFERROR(Table1[[#This Row],[Actual Profit]]/Table1[[#This Row],[Hours Worked]],"")</f>
        <v/>
      </c>
      <c r="E32" s="2"/>
    </row>
    <row r="33" spans="1:5" x14ac:dyDescent="0.25">
      <c r="A33" s="2"/>
      <c r="B33" s="2"/>
      <c r="C33" s="4"/>
      <c r="D33" s="2" t="str">
        <f>IFERROR(Table1[[#This Row],[Actual Profit]]/Table1[[#This Row],[Hours Worked]],"")</f>
        <v/>
      </c>
      <c r="E33" s="2"/>
    </row>
    <row r="34" spans="1:5" x14ac:dyDescent="0.25">
      <c r="A34" s="2"/>
      <c r="B34" s="2"/>
      <c r="C34" s="4"/>
      <c r="D34" s="2" t="str">
        <f>IFERROR(Table1[[#This Row],[Actual Profit]]/Table1[[#This Row],[Hours Worked]],"")</f>
        <v/>
      </c>
      <c r="E34" s="2"/>
    </row>
    <row r="35" spans="1:5" x14ac:dyDescent="0.25">
      <c r="A35" s="2"/>
      <c r="B35" s="2"/>
      <c r="C35" s="4"/>
      <c r="D35" s="2" t="str">
        <f>IFERROR(Table1[[#This Row],[Actual Profit]]/Table1[[#This Row],[Hours Worked]],"")</f>
        <v/>
      </c>
      <c r="E35" s="2"/>
    </row>
    <row r="36" spans="1:5" x14ac:dyDescent="0.25">
      <c r="A36" s="2"/>
      <c r="B36" s="2"/>
      <c r="C36" s="4"/>
      <c r="D36" s="2" t="str">
        <f>IFERROR(Table1[[#This Row],[Actual Profit]]/Table1[[#This Row],[Hours Worked]],"")</f>
        <v/>
      </c>
      <c r="E36" s="2"/>
    </row>
    <row r="37" spans="1:5" x14ac:dyDescent="0.25">
      <c r="A37" s="2"/>
      <c r="B37" s="2"/>
      <c r="C37" s="4"/>
      <c r="D37" s="2" t="str">
        <f>IFERROR(Table1[[#This Row],[Actual Profit]]/Table1[[#This Row],[Hours Worked]],"")</f>
        <v/>
      </c>
      <c r="E37" s="2"/>
    </row>
    <row r="38" spans="1:5" x14ac:dyDescent="0.25">
      <c r="A38" s="2"/>
      <c r="B38" s="2"/>
      <c r="C38" s="4"/>
      <c r="D38" s="2" t="str">
        <f>IFERROR(Table1[[#This Row],[Actual Profit]]/Table1[[#This Row],[Hours Worked]],"")</f>
        <v/>
      </c>
      <c r="E38" s="2"/>
    </row>
    <row r="39" spans="1:5" x14ac:dyDescent="0.25">
      <c r="A39" s="2"/>
      <c r="B39" s="2"/>
      <c r="C39" s="4"/>
      <c r="D39" s="2" t="str">
        <f>IFERROR(Table1[[#This Row],[Actual Profit]]/Table1[[#This Row],[Hours Worked]],"")</f>
        <v/>
      </c>
      <c r="E39" s="2"/>
    </row>
    <row r="40" spans="1:5" x14ac:dyDescent="0.25">
      <c r="A40" s="2"/>
      <c r="B40" s="2"/>
      <c r="C40" s="4"/>
      <c r="D40" s="2" t="str">
        <f>IFERROR(Table1[[#This Row],[Actual Profit]]/Table1[[#This Row],[Hours Worked]],"")</f>
        <v/>
      </c>
      <c r="E40" s="2"/>
    </row>
    <row r="41" spans="1:5" x14ac:dyDescent="0.25">
      <c r="A41" s="2"/>
      <c r="B41" s="2"/>
      <c r="C41" s="4"/>
      <c r="D41" s="2" t="str">
        <f>IFERROR(Table1[[#This Row],[Actual Profit]]/Table1[[#This Row],[Hours Worked]],"")</f>
        <v/>
      </c>
      <c r="E41" s="2"/>
    </row>
    <row r="42" spans="1:5" x14ac:dyDescent="0.25">
      <c r="A42" s="2"/>
      <c r="B42" s="2"/>
      <c r="C42" s="4"/>
      <c r="D42" s="2" t="str">
        <f>IFERROR(Table1[[#This Row],[Actual Profit]]/Table1[[#This Row],[Hours Worked]],"")</f>
        <v/>
      </c>
      <c r="E42" s="2"/>
    </row>
    <row r="43" spans="1:5" x14ac:dyDescent="0.25">
      <c r="A43" s="2"/>
      <c r="B43" s="2"/>
      <c r="C43" s="4"/>
      <c r="D43" s="2" t="str">
        <f>IFERROR(Table1[[#This Row],[Actual Profit]]/Table1[[#This Row],[Hours Worked]],"")</f>
        <v/>
      </c>
      <c r="E43" s="2"/>
    </row>
    <row r="44" spans="1:5" x14ac:dyDescent="0.25">
      <c r="A44" s="2"/>
      <c r="B44" s="2"/>
      <c r="C44" s="4"/>
      <c r="D44" s="2" t="str">
        <f>IFERROR(Table1[[#This Row],[Actual Profit]]/Table1[[#This Row],[Hours Worked]],"")</f>
        <v/>
      </c>
      <c r="E44" s="2"/>
    </row>
    <row r="45" spans="1:5" x14ac:dyDescent="0.25">
      <c r="A45" s="2"/>
      <c r="B45" s="2"/>
      <c r="C45" s="4"/>
      <c r="D45" s="2" t="str">
        <f>IFERROR(Table1[[#This Row],[Actual Profit]]/Table1[[#This Row],[Hours Worked]],"")</f>
        <v/>
      </c>
      <c r="E45" s="2"/>
    </row>
    <row r="46" spans="1:5" x14ac:dyDescent="0.25">
      <c r="A46" s="2"/>
      <c r="B46" s="2"/>
      <c r="C46" s="4"/>
      <c r="D46" s="2" t="str">
        <f>IFERROR(Table1[[#This Row],[Actual Profit]]/Table1[[#This Row],[Hours Worked]],"")</f>
        <v/>
      </c>
      <c r="E46" s="2"/>
    </row>
    <row r="47" spans="1:5" x14ac:dyDescent="0.25">
      <c r="A47" s="2"/>
      <c r="B47" s="2"/>
      <c r="C47" s="4"/>
      <c r="D47" s="2" t="str">
        <f>IFERROR(Table1[[#This Row],[Actual Profit]]/Table1[[#This Row],[Hours Worked]],"")</f>
        <v/>
      </c>
      <c r="E47" s="2"/>
    </row>
    <row r="48" spans="1:5" x14ac:dyDescent="0.25">
      <c r="A48" s="2"/>
      <c r="B48" s="2"/>
      <c r="C48" s="4"/>
      <c r="D48" s="2" t="str">
        <f>IFERROR(Table1[[#This Row],[Actual Profit]]/Table1[[#This Row],[Hours Worked]],"")</f>
        <v/>
      </c>
      <c r="E48" s="2"/>
    </row>
    <row r="49" spans="1:5" x14ac:dyDescent="0.25">
      <c r="A49" s="2"/>
      <c r="B49" s="2"/>
      <c r="C49" s="4"/>
      <c r="D49" s="2" t="str">
        <f>IFERROR(Table1[[#This Row],[Actual Profit]]/Table1[[#This Row],[Hours Worked]],"")</f>
        <v/>
      </c>
      <c r="E49" s="2"/>
    </row>
    <row r="50" spans="1:5" x14ac:dyDescent="0.25">
      <c r="A50" s="2"/>
      <c r="B50" s="2"/>
      <c r="C50" s="4"/>
      <c r="D50" s="2" t="str">
        <f>IFERROR(Table1[[#This Row],[Actual Profit]]/Table1[[#This Row],[Hours Worked]],"")</f>
        <v/>
      </c>
      <c r="E50" s="2"/>
    </row>
    <row r="51" spans="1:5" x14ac:dyDescent="0.25">
      <c r="A51" s="2"/>
      <c r="B51" s="2"/>
      <c r="C51" s="4"/>
      <c r="D51" s="2" t="str">
        <f>IFERROR(Table1[[#This Row],[Actual Profit]]/Table1[[#This Row],[Hours Worked]],"")</f>
        <v/>
      </c>
      <c r="E51" s="2"/>
    </row>
    <row r="52" spans="1:5" x14ac:dyDescent="0.25">
      <c r="A52" s="2"/>
      <c r="B52" s="2"/>
      <c r="C52" s="4"/>
      <c r="D52" s="2" t="str">
        <f>IFERROR(Table1[[#This Row],[Actual Profit]]/Table1[[#This Row],[Hours Worked]],"")</f>
        <v/>
      </c>
      <c r="E52" s="2"/>
    </row>
    <row r="53" spans="1:5" x14ac:dyDescent="0.25">
      <c r="A53" s="2"/>
      <c r="B53" s="2"/>
      <c r="C53" s="4"/>
      <c r="D53" s="2" t="str">
        <f>IFERROR(Table1[[#This Row],[Actual Profit]]/Table1[[#This Row],[Hours Worked]],"")</f>
        <v/>
      </c>
      <c r="E53" s="2"/>
    </row>
    <row r="54" spans="1:5" x14ac:dyDescent="0.25">
      <c r="A54" s="2"/>
      <c r="B54" s="2"/>
      <c r="C54" s="4"/>
      <c r="D54" s="2" t="str">
        <f>IFERROR(Table1[[#This Row],[Actual Profit]]/Table1[[#This Row],[Hours Worked]],"")</f>
        <v/>
      </c>
      <c r="E54" s="2"/>
    </row>
    <row r="55" spans="1:5" x14ac:dyDescent="0.25">
      <c r="A55" s="2"/>
      <c r="B55" s="2"/>
      <c r="C55" s="4"/>
      <c r="D55" s="2" t="str">
        <f>IFERROR(Table1[[#This Row],[Actual Profit]]/Table1[[#This Row],[Hours Worked]],"")</f>
        <v/>
      </c>
      <c r="E55" s="2"/>
    </row>
    <row r="56" spans="1:5" x14ac:dyDescent="0.25">
      <c r="A56" s="2"/>
      <c r="B56" s="2"/>
      <c r="C56" s="4"/>
      <c r="D56" s="2" t="str">
        <f>IFERROR(Table1[[#This Row],[Actual Profit]]/Table1[[#This Row],[Hours Worked]],"")</f>
        <v/>
      </c>
      <c r="E56" s="2"/>
    </row>
    <row r="57" spans="1:5" x14ac:dyDescent="0.25">
      <c r="A57" s="2"/>
      <c r="B57" s="2"/>
      <c r="C57" s="4"/>
      <c r="D57" s="2" t="str">
        <f>IFERROR(Table1[[#This Row],[Actual Profit]]/Table1[[#This Row],[Hours Worked]],"")</f>
        <v/>
      </c>
      <c r="E57" s="2"/>
    </row>
    <row r="58" spans="1:5" x14ac:dyDescent="0.25">
      <c r="A58" s="2"/>
      <c r="B58" s="2"/>
      <c r="C58" s="4"/>
      <c r="D58" s="2" t="str">
        <f>IFERROR(Table1[[#This Row],[Actual Profit]]/Table1[[#This Row],[Hours Worked]],"")</f>
        <v/>
      </c>
      <c r="E58" s="2"/>
    </row>
    <row r="59" spans="1:5" x14ac:dyDescent="0.25">
      <c r="A59" s="2"/>
      <c r="B59" s="2"/>
      <c r="C59" s="4"/>
      <c r="D59" s="2" t="str">
        <f>IFERROR(Table1[[#This Row],[Actual Profit]]/Table1[[#This Row],[Hours Worked]],"")</f>
        <v/>
      </c>
      <c r="E59" s="2"/>
    </row>
    <row r="60" spans="1:5" x14ac:dyDescent="0.25">
      <c r="A60" s="2"/>
      <c r="B60" s="2"/>
      <c r="C60" s="4"/>
      <c r="D60" s="2" t="str">
        <f>IFERROR(Table1[[#This Row],[Actual Profit]]/Table1[[#This Row],[Hours Worked]],"")</f>
        <v/>
      </c>
      <c r="E60" s="2"/>
    </row>
    <row r="61" spans="1:5" x14ac:dyDescent="0.25">
      <c r="A61" s="2"/>
      <c r="B61" s="2"/>
      <c r="C61" s="4"/>
      <c r="D61" s="2" t="str">
        <f>IFERROR(Table1[[#This Row],[Actual Profit]]/Table1[[#This Row],[Hours Worked]],"")</f>
        <v/>
      </c>
      <c r="E61" s="2"/>
    </row>
    <row r="62" spans="1:5" x14ac:dyDescent="0.25">
      <c r="A62" s="2"/>
      <c r="B62" s="2"/>
      <c r="C62" s="4"/>
      <c r="D62" s="2" t="str">
        <f>IFERROR(Table1[[#This Row],[Actual Profit]]/Table1[[#This Row],[Hours Worked]],"")</f>
        <v/>
      </c>
      <c r="E62" s="2"/>
    </row>
    <row r="63" spans="1:5" x14ac:dyDescent="0.25">
      <c r="A63" s="2"/>
      <c r="B63" s="2"/>
      <c r="C63" s="4"/>
      <c r="D63" s="2" t="str">
        <f>IFERROR(Table1[[#This Row],[Actual Profit]]/Table1[[#This Row],[Hours Worked]],"")</f>
        <v/>
      </c>
      <c r="E63" s="2"/>
    </row>
    <row r="64" spans="1:5" x14ac:dyDescent="0.25">
      <c r="A64" s="2"/>
      <c r="B64" s="2"/>
      <c r="C64" s="4"/>
      <c r="D64" s="2" t="str">
        <f>IFERROR(Table1[[#This Row],[Actual Profit]]/Table1[[#This Row],[Hours Worked]],"")</f>
        <v/>
      </c>
      <c r="E64" s="2"/>
    </row>
    <row r="65" spans="1:5" x14ac:dyDescent="0.25">
      <c r="A65" s="2"/>
      <c r="B65" s="2"/>
      <c r="C65" s="4"/>
      <c r="D65" s="2" t="str">
        <f>IFERROR(Table1[[#This Row],[Actual Profit]]/Table1[[#This Row],[Hours Worked]],"")</f>
        <v/>
      </c>
      <c r="E65" s="2"/>
    </row>
    <row r="66" spans="1:5" x14ac:dyDescent="0.25">
      <c r="A66" s="2"/>
      <c r="B66" s="2"/>
      <c r="C66" s="4"/>
      <c r="D66" s="2" t="str">
        <f>IFERROR(Table1[[#This Row],[Actual Profit]]/Table1[[#This Row],[Hours Worked]],"")</f>
        <v/>
      </c>
      <c r="E66" s="2"/>
    </row>
    <row r="67" spans="1:5" x14ac:dyDescent="0.25">
      <c r="A67" s="2"/>
      <c r="B67" s="2"/>
      <c r="C67" s="4"/>
      <c r="D67" s="2" t="str">
        <f>IFERROR(Table1[[#This Row],[Actual Profit]]/Table1[[#This Row],[Hours Worked]],"")</f>
        <v/>
      </c>
      <c r="E67" s="2"/>
    </row>
    <row r="68" spans="1:5" x14ac:dyDescent="0.25">
      <c r="A68" s="2"/>
      <c r="B68" s="2"/>
      <c r="C68" s="4"/>
      <c r="D68" s="2" t="str">
        <f>IFERROR(Table1[[#This Row],[Actual Profit]]/Table1[[#This Row],[Hours Worked]],"")</f>
        <v/>
      </c>
      <c r="E68" s="2"/>
    </row>
    <row r="69" spans="1:5" x14ac:dyDescent="0.25">
      <c r="A69" s="2"/>
      <c r="B69" s="2"/>
      <c r="C69" s="4"/>
      <c r="D69" s="2" t="str">
        <f>IFERROR(Table1[[#This Row],[Actual Profit]]/Table1[[#This Row],[Hours Worked]],"")</f>
        <v/>
      </c>
      <c r="E69" s="2"/>
    </row>
    <row r="70" spans="1:5" x14ac:dyDescent="0.25">
      <c r="A70" s="2"/>
      <c r="B70" s="2"/>
      <c r="C70" s="4"/>
      <c r="D70" s="2" t="str">
        <f>IFERROR(Table1[[#This Row],[Actual Profit]]/Table1[[#This Row],[Hours Worked]],"")</f>
        <v/>
      </c>
      <c r="E70" s="2"/>
    </row>
    <row r="71" spans="1:5" x14ac:dyDescent="0.25">
      <c r="A71" s="2"/>
      <c r="B71" s="2"/>
      <c r="C71" s="4"/>
      <c r="D71" s="2" t="str">
        <f>IFERROR(Table1[[#This Row],[Actual Profit]]/Table1[[#This Row],[Hours Worked]],"")</f>
        <v/>
      </c>
      <c r="E71" s="2"/>
    </row>
    <row r="72" spans="1:5" x14ac:dyDescent="0.25">
      <c r="A72" s="2"/>
      <c r="B72" s="2"/>
      <c r="C72" s="4"/>
      <c r="D72" s="2" t="str">
        <f>IFERROR(Table1[[#This Row],[Actual Profit]]/Table1[[#This Row],[Hours Worked]],"")</f>
        <v/>
      </c>
      <c r="E72" s="2"/>
    </row>
    <row r="73" spans="1:5" x14ac:dyDescent="0.25">
      <c r="A73" s="2"/>
      <c r="B73" s="2"/>
      <c r="C73" s="4"/>
      <c r="D73" s="2" t="str">
        <f>IFERROR(Table1[[#This Row],[Actual Profit]]/Table1[[#This Row],[Hours Worked]],"")</f>
        <v/>
      </c>
      <c r="E73" s="2"/>
    </row>
    <row r="74" spans="1:5" x14ac:dyDescent="0.25">
      <c r="A74" s="2"/>
      <c r="B74" s="2"/>
      <c r="C74" s="4"/>
      <c r="D74" s="2" t="str">
        <f>IFERROR(Table1[[#This Row],[Actual Profit]]/Table1[[#This Row],[Hours Worked]],"")</f>
        <v/>
      </c>
      <c r="E74" s="2"/>
    </row>
    <row r="75" spans="1:5" x14ac:dyDescent="0.25">
      <c r="A75" s="2"/>
      <c r="B75" s="2"/>
      <c r="C75" s="4"/>
      <c r="D75" s="2" t="str">
        <f>IFERROR(Table1[[#This Row],[Actual Profit]]/Table1[[#This Row],[Hours Worked]],"")</f>
        <v/>
      </c>
      <c r="E75" s="2"/>
    </row>
    <row r="76" spans="1:5" x14ac:dyDescent="0.25">
      <c r="A76" s="2"/>
      <c r="B76" s="2"/>
      <c r="C76" s="4"/>
      <c r="D76" s="2" t="str">
        <f>IFERROR(Table1[[#This Row],[Actual Profit]]/Table1[[#This Row],[Hours Worked]],"")</f>
        <v/>
      </c>
      <c r="E76" s="2"/>
    </row>
    <row r="77" spans="1:5" x14ac:dyDescent="0.25">
      <c r="A77" s="2"/>
      <c r="B77" s="2"/>
      <c r="C77" s="4"/>
      <c r="D77" s="2" t="str">
        <f>IFERROR(Table1[[#This Row],[Actual Profit]]/Table1[[#This Row],[Hours Worked]],"")</f>
        <v/>
      </c>
      <c r="E77" s="2"/>
    </row>
    <row r="78" spans="1:5" x14ac:dyDescent="0.25">
      <c r="A78" s="2"/>
      <c r="B78" s="2"/>
      <c r="C78" s="4"/>
      <c r="D78" s="2" t="str">
        <f>IFERROR(Table1[[#This Row],[Actual Profit]]/Table1[[#This Row],[Hours Worked]],"")</f>
        <v/>
      </c>
      <c r="E78" s="2"/>
    </row>
    <row r="79" spans="1:5" x14ac:dyDescent="0.25">
      <c r="A79" s="2"/>
      <c r="B79" s="2"/>
      <c r="C79" s="4"/>
      <c r="D79" s="2" t="str">
        <f>IFERROR(Table1[[#This Row],[Actual Profit]]/Table1[[#This Row],[Hours Worked]],"")</f>
        <v/>
      </c>
      <c r="E79" s="2"/>
    </row>
    <row r="80" spans="1:5" x14ac:dyDescent="0.25">
      <c r="A80" s="2"/>
      <c r="B80" s="2"/>
      <c r="C80" s="4"/>
      <c r="D80" s="2" t="str">
        <f>IFERROR(Table1[[#This Row],[Actual Profit]]/Table1[[#This Row],[Hours Worked]],"")</f>
        <v/>
      </c>
      <c r="E80" s="2"/>
    </row>
    <row r="81" spans="1:5" x14ac:dyDescent="0.25">
      <c r="A81" s="2"/>
      <c r="B81" s="2"/>
      <c r="C81" s="4"/>
      <c r="D81" s="2" t="str">
        <f>IFERROR(Table1[[#This Row],[Actual Profit]]/Table1[[#This Row],[Hours Worked]],"")</f>
        <v/>
      </c>
      <c r="E81" s="2"/>
    </row>
    <row r="82" spans="1:5" x14ac:dyDescent="0.25">
      <c r="A82" s="2"/>
      <c r="B82" s="2"/>
      <c r="C82" s="4"/>
      <c r="D82" s="2" t="str">
        <f>IFERROR(Table1[[#This Row],[Actual Profit]]/Table1[[#This Row],[Hours Worked]],"")</f>
        <v/>
      </c>
      <c r="E82" s="2"/>
    </row>
    <row r="83" spans="1:5" x14ac:dyDescent="0.25">
      <c r="A83" s="2"/>
      <c r="B83" s="2"/>
      <c r="C83" s="4"/>
      <c r="D83" s="2" t="str">
        <f>IFERROR(Table1[[#This Row],[Actual Profit]]/Table1[[#This Row],[Hours Worked]],"")</f>
        <v/>
      </c>
      <c r="E83" s="2"/>
    </row>
    <row r="84" spans="1:5" x14ac:dyDescent="0.25">
      <c r="A84" s="2"/>
      <c r="B84" s="2"/>
      <c r="C84" s="4"/>
      <c r="D84" s="2" t="str">
        <f>IFERROR(Table1[[#This Row],[Actual Profit]]/Table1[[#This Row],[Hours Worked]],"")</f>
        <v/>
      </c>
      <c r="E84" s="2"/>
    </row>
    <row r="85" spans="1:5" x14ac:dyDescent="0.25">
      <c r="A85" s="2"/>
      <c r="B85" s="2"/>
      <c r="C85" s="4"/>
      <c r="D85" s="2" t="str">
        <f>IFERROR(Table1[[#This Row],[Actual Profit]]/Table1[[#This Row],[Hours Worked]],"")</f>
        <v/>
      </c>
      <c r="E85" s="2"/>
    </row>
    <row r="86" spans="1:5" x14ac:dyDescent="0.25">
      <c r="A86" s="2"/>
      <c r="B86" s="2"/>
      <c r="C86" s="4"/>
      <c r="D86" s="2" t="str">
        <f>IFERROR(Table1[[#This Row],[Actual Profit]]/Table1[[#This Row],[Hours Worked]],"")</f>
        <v/>
      </c>
      <c r="E86" s="2"/>
    </row>
    <row r="87" spans="1:5" x14ac:dyDescent="0.25">
      <c r="A87" s="2"/>
      <c r="B87" s="2"/>
      <c r="C87" s="4"/>
      <c r="D87" s="2" t="str">
        <f>IFERROR(Table1[[#This Row],[Actual Profit]]/Table1[[#This Row],[Hours Worked]],"")</f>
        <v/>
      </c>
      <c r="E87" s="2"/>
    </row>
    <row r="88" spans="1:5" x14ac:dyDescent="0.25">
      <c r="A88" s="2"/>
      <c r="B88" s="2"/>
      <c r="C88" s="4"/>
      <c r="D88" s="2" t="str">
        <f>IFERROR(Table1[[#This Row],[Actual Profit]]/Table1[[#This Row],[Hours Worked]],"")</f>
        <v/>
      </c>
      <c r="E88" s="2"/>
    </row>
    <row r="89" spans="1:5" x14ac:dyDescent="0.25">
      <c r="A89" s="2"/>
      <c r="B89" s="2"/>
      <c r="C89" s="4"/>
      <c r="D89" s="2" t="str">
        <f>IFERROR(Table1[[#This Row],[Actual Profit]]/Table1[[#This Row],[Hours Worked]],"")</f>
        <v/>
      </c>
      <c r="E89" s="2"/>
    </row>
    <row r="90" spans="1:5" x14ac:dyDescent="0.25">
      <c r="A90" s="2"/>
      <c r="B90" s="2"/>
      <c r="C90" s="4"/>
      <c r="D90" s="2" t="str">
        <f>IFERROR(Table1[[#This Row],[Actual Profit]]/Table1[[#This Row],[Hours Worked]],"")</f>
        <v/>
      </c>
      <c r="E90" s="2"/>
    </row>
    <row r="91" spans="1:5" x14ac:dyDescent="0.25">
      <c r="A91" s="2"/>
      <c r="B91" s="2"/>
      <c r="C91" s="4"/>
      <c r="D91" s="2" t="str">
        <f>IFERROR(Table1[[#This Row],[Actual Profit]]/Table1[[#This Row],[Hours Worked]],"")</f>
        <v/>
      </c>
      <c r="E91" s="2"/>
    </row>
    <row r="92" spans="1:5" x14ac:dyDescent="0.25">
      <c r="A92" s="2"/>
      <c r="B92" s="2"/>
      <c r="C92" s="4"/>
      <c r="D92" s="2" t="str">
        <f>IFERROR(Table1[[#This Row],[Actual Profit]]/Table1[[#This Row],[Hours Worked]],"")</f>
        <v/>
      </c>
      <c r="E92" s="2"/>
    </row>
    <row r="93" spans="1:5" x14ac:dyDescent="0.25">
      <c r="A93" s="2"/>
      <c r="B93" s="2"/>
      <c r="C93" s="4"/>
      <c r="D93" s="2" t="str">
        <f>IFERROR(Table1[[#This Row],[Actual Profit]]/Table1[[#This Row],[Hours Worked]],"")</f>
        <v/>
      </c>
      <c r="E93" s="2"/>
    </row>
    <row r="94" spans="1:5" x14ac:dyDescent="0.25">
      <c r="A94" s="2"/>
      <c r="B94" s="2"/>
      <c r="C94" s="4"/>
      <c r="D94" s="2" t="str">
        <f>IFERROR(Table1[[#This Row],[Actual Profit]]/Table1[[#This Row],[Hours Worked]],"")</f>
        <v/>
      </c>
      <c r="E94" s="2"/>
    </row>
    <row r="95" spans="1:5" x14ac:dyDescent="0.25">
      <c r="A95" s="2"/>
      <c r="B95" s="2"/>
      <c r="C95" s="4"/>
      <c r="D95" s="2" t="str">
        <f>IFERROR(Table1[[#This Row],[Actual Profit]]/Table1[[#This Row],[Hours Worked]],"")</f>
        <v/>
      </c>
      <c r="E95" s="2"/>
    </row>
    <row r="96" spans="1:5" x14ac:dyDescent="0.25">
      <c r="A96" s="2"/>
      <c r="B96" s="2"/>
      <c r="C96" s="4"/>
      <c r="D96" s="2" t="str">
        <f>IFERROR(Table1[[#This Row],[Actual Profit]]/Table1[[#This Row],[Hours Worked]],"")</f>
        <v/>
      </c>
      <c r="E96" s="2"/>
    </row>
    <row r="97" spans="1:5" x14ac:dyDescent="0.25">
      <c r="A97" s="2"/>
      <c r="B97" s="2"/>
      <c r="C97" s="4"/>
      <c r="D97" s="2" t="str">
        <f>IFERROR(Table1[[#This Row],[Actual Profit]]/Table1[[#This Row],[Hours Worked]],"")</f>
        <v/>
      </c>
      <c r="E97" s="2"/>
    </row>
    <row r="98" spans="1:5" x14ac:dyDescent="0.25">
      <c r="A98" s="2"/>
      <c r="B98" s="2"/>
      <c r="C98" s="4"/>
      <c r="D98" s="2" t="str">
        <f>IFERROR(Table1[[#This Row],[Actual Profit]]/Table1[[#This Row],[Hours Worked]],"")</f>
        <v/>
      </c>
      <c r="E98" s="2"/>
    </row>
    <row r="99" spans="1:5" x14ac:dyDescent="0.25">
      <c r="A99" s="2"/>
      <c r="B99" s="2"/>
      <c r="C99" s="4"/>
      <c r="D99" s="2" t="str">
        <f>IFERROR(Table1[[#This Row],[Actual Profit]]/Table1[[#This Row],[Hours Worked]],"")</f>
        <v/>
      </c>
      <c r="E99" s="2"/>
    </row>
    <row r="100" spans="1:5" x14ac:dyDescent="0.25">
      <c r="A100" s="2"/>
      <c r="B100" s="2"/>
      <c r="C100" s="4"/>
      <c r="D100" s="2" t="str">
        <f>IFERROR(Table1[[#This Row],[Actual Profit]]/Table1[[#This Row],[Hours Worked]],"")</f>
        <v/>
      </c>
      <c r="E100" s="2"/>
    </row>
    <row r="101" spans="1:5" x14ac:dyDescent="0.25">
      <c r="A101" s="2"/>
      <c r="B101" s="2"/>
      <c r="C101" s="4"/>
      <c r="D101" s="2" t="str">
        <f>IFERROR(Table1[[#This Row],[Actual Profit]]/Table1[[#This Row],[Hours Worked]],"")</f>
        <v/>
      </c>
      <c r="E101" s="2"/>
    </row>
    <row r="102" spans="1:5" x14ac:dyDescent="0.25">
      <c r="A102" s="2"/>
      <c r="B102" s="2"/>
      <c r="C102" s="4"/>
      <c r="D102" s="2" t="str">
        <f>IFERROR(Table1[[#This Row],[Actual Profit]]/Table1[[#This Row],[Hours Worked]],"")</f>
        <v/>
      </c>
      <c r="E102" s="2"/>
    </row>
    <row r="103" spans="1:5" x14ac:dyDescent="0.25">
      <c r="A103" s="2"/>
      <c r="B103" s="2"/>
      <c r="C103" s="4"/>
      <c r="D103" s="2" t="str">
        <f>IFERROR(Table1[[#This Row],[Actual Profit]]/Table1[[#This Row],[Hours Worked]],"")</f>
        <v/>
      </c>
      <c r="E103" s="2"/>
    </row>
    <row r="104" spans="1:5" x14ac:dyDescent="0.25">
      <c r="A104" s="2"/>
      <c r="B104" s="2"/>
      <c r="C104" s="4"/>
      <c r="D104" s="2" t="str">
        <f>IFERROR(Table1[[#This Row],[Actual Profit]]/Table1[[#This Row],[Hours Worked]],"")</f>
        <v/>
      </c>
      <c r="E104" s="2"/>
    </row>
    <row r="105" spans="1:5" x14ac:dyDescent="0.25">
      <c r="A105" s="2"/>
      <c r="B105" s="2"/>
      <c r="C105" s="4"/>
      <c r="D105" s="2" t="str">
        <f>IFERROR(Table1[[#This Row],[Actual Profit]]/Table1[[#This Row],[Hours Worked]],"")</f>
        <v/>
      </c>
      <c r="E105" s="2"/>
    </row>
    <row r="106" spans="1:5" x14ac:dyDescent="0.25">
      <c r="A106" s="2"/>
    </row>
    <row r="107" spans="1:5" x14ac:dyDescent="0.25">
      <c r="A107" s="2"/>
    </row>
    <row r="108" spans="1:5" x14ac:dyDescent="0.25">
      <c r="A108" s="2"/>
    </row>
    <row r="109" spans="1:5" x14ac:dyDescent="0.25">
      <c r="A109" s="2"/>
    </row>
    <row r="110" spans="1:5" x14ac:dyDescent="0.25">
      <c r="A110" s="2"/>
    </row>
    <row r="111" spans="1:5" x14ac:dyDescent="0.25">
      <c r="A111" s="2"/>
    </row>
    <row r="112" spans="1:5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</sheetData>
  <conditionalFormatting sqref="B1:B1048576">
    <cfRule type="colorScale" priority="3">
      <colorScale>
        <cfvo type="num" val="0"/>
        <cfvo type="num" val="1"/>
        <color rgb="FFFF0000"/>
        <color theme="9"/>
      </colorScale>
    </cfRule>
  </conditionalFormatting>
  <conditionalFormatting sqref="D1:D1048576">
    <cfRule type="colorScale" priority="1">
      <colorScale>
        <cfvo type="num" val="0"/>
        <cfvo type="num" val="1"/>
        <color rgb="FFFF0000"/>
        <color theme="9"/>
      </colorScale>
    </cfRule>
  </conditionalFormatting>
  <conditionalFormatting sqref="E2:E4">
    <cfRule type="colorScale" priority="8">
      <colorScale>
        <cfvo type="num" val="0"/>
        <cfvo type="num" val="1"/>
        <color rgb="FFFF0000"/>
        <color theme="9"/>
      </colorScale>
    </cfRule>
  </conditionalFormatting>
  <conditionalFormatting sqref="F2">
    <cfRule type="colorScale" priority="4">
      <colorScale>
        <cfvo type="num" val="0"/>
        <cfvo type="num" val="1"/>
        <color rgb="FFFF0000"/>
        <color theme="9"/>
      </colorScale>
    </cfRule>
  </conditionalFormatting>
  <conditionalFormatting sqref="G2">
    <cfRule type="colorScale" priority="5">
      <colorScale>
        <cfvo type="num" val="0"/>
        <cfvo type="num" val="1"/>
        <color rgb="FFFF0000"/>
        <color theme="9"/>
      </colorScale>
    </cfRule>
  </conditionalFormatting>
  <conditionalFormatting sqref="H2:I2">
    <cfRule type="colorScale" priority="10">
      <colorScale>
        <cfvo type="num" val="0"/>
        <cfvo type="num" val="1"/>
        <color rgb="FFFF0000"/>
        <color theme="9"/>
      </colorScale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"/>
  <sheetViews>
    <sheetView zoomScale="190" zoomScaleNormal="190" workbookViewId="0">
      <selection activeCell="A2" sqref="A2"/>
    </sheetView>
  </sheetViews>
  <sheetFormatPr defaultRowHeight="15" x14ac:dyDescent="0.25"/>
  <cols>
    <col min="1" max="1" width="20.7109375" bestFit="1" customWidth="1"/>
    <col min="2" max="2" width="17" bestFit="1" customWidth="1"/>
    <col min="3" max="3" width="11" customWidth="1"/>
  </cols>
  <sheetData>
    <row r="1" spans="1:3" x14ac:dyDescent="0.25">
      <c r="A1" s="3" t="s">
        <v>60</v>
      </c>
      <c r="B1" s="3" t="s">
        <v>61</v>
      </c>
      <c r="C1" s="3" t="s">
        <v>62</v>
      </c>
    </row>
    <row r="2" spans="1:3" x14ac:dyDescent="0.25">
      <c r="A2" s="15">
        <f>SUM('Total Profit'!G2)</f>
        <v>0</v>
      </c>
      <c r="B2" s="5">
        <f>SUM('Total Profit'!H2)</f>
        <v>0</v>
      </c>
      <c r="C2" s="5">
        <v>0</v>
      </c>
    </row>
  </sheetData>
  <conditionalFormatting sqref="A2">
    <cfRule type="colorScale" priority="3">
      <colorScale>
        <cfvo type="num" val="0"/>
        <cfvo type="num" val="1"/>
        <color rgb="FFFF0000"/>
        <color theme="9"/>
      </colorScale>
    </cfRule>
  </conditionalFormatting>
  <conditionalFormatting sqref="B2">
    <cfRule type="colorScale" priority="2">
      <colorScale>
        <cfvo type="num" val="0"/>
        <cfvo type="num" val="1"/>
        <color rgb="FFFF0000"/>
        <color theme="9"/>
      </colorScale>
    </cfRule>
  </conditionalFormatting>
  <conditionalFormatting sqref="C2">
    <cfRule type="colorScale" priority="1">
      <colorScale>
        <cfvo type="num" val="0"/>
        <cfvo type="num" val="1"/>
        <color rgb="FFFF0000"/>
        <color theme="9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Introduction</vt:lpstr>
      <vt:lpstr>Calculator</vt:lpstr>
      <vt:lpstr>Faults</vt:lpstr>
      <vt:lpstr>Items</vt:lpstr>
      <vt:lpstr>Total Profit</vt:lpstr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Joey Does Tech</dc:creator>
  <cp:lastModifiedBy>Joey Does Tech</cp:lastModifiedBy>
  <dcterms:created xsi:type="dcterms:W3CDTF">2024-10-07T14:11:15Z</dcterms:created>
  <dcterms:modified xsi:type="dcterms:W3CDTF">2025-05-29T11:56:30Z</dcterms:modified>
</cp:coreProperties>
</file>